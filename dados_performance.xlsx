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caa92e866c9fe0/Área de Trabalho/RAFAEL/Faculdade/EstruturaDados/A3/"/>
    </mc:Choice>
  </mc:AlternateContent>
  <xr:revisionPtr revIDLastSave="152" documentId="8_{1CED50BA-E39F-48FA-BD95-77DB9D27A1F9}" xr6:coauthVersionLast="47" xr6:coauthVersionMax="47" xr10:uidLastSave="{F8364B89-0E28-4CA1-9E2E-A8236B1CFDE0}"/>
  <bookViews>
    <workbookView xWindow="28680" yWindow="-120" windowWidth="29040" windowHeight="15720" xr2:uid="{70028377-6DC5-4CB3-A256-B7E3A20DCCBF}"/>
  </bookViews>
  <sheets>
    <sheet name="Mediana3" sheetId="3" r:id="rId1"/>
  </sheets>
  <calcPr calcId="191029"/>
  <pivotCaches>
    <pivotCache cacheId="7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" i="3"/>
</calcChain>
</file>

<file path=xl/sharedStrings.xml><?xml version="1.0" encoding="utf-8"?>
<sst xmlns="http://schemas.openxmlformats.org/spreadsheetml/2006/main" count="38" uniqueCount="14">
  <si>
    <t>CountSort</t>
  </si>
  <si>
    <t>MergeSort</t>
  </si>
  <si>
    <t>QuickSort</t>
  </si>
  <si>
    <t>InsertionSort</t>
  </si>
  <si>
    <t>Rótulos de Linha</t>
  </si>
  <si>
    <t>Rótulos de Coluna</t>
  </si>
  <si>
    <t>Tamanho do Vetor</t>
  </si>
  <si>
    <t>Algoritmo</t>
  </si>
  <si>
    <t>Tempo (ns)</t>
  </si>
  <si>
    <t>Comparações</t>
  </si>
  <si>
    <t>Movimentações</t>
  </si>
  <si>
    <t>Total Geral</t>
  </si>
  <si>
    <t>Tempo (ms)</t>
  </si>
  <si>
    <t>Soma de Tempo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</si>
</sst>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NumberFormat="1"/>
    <xf numFmtId="166" fontId="0" fillId="0" borderId="0" xfId="1" applyNumberFormat="1" applyFont="1" applyAlignment="1">
      <alignment horizontal="right" vertical="center"/>
    </xf>
    <xf numFmtId="166" fontId="0" fillId="0" borderId="0" xfId="0" applyNumberFormat="1" applyAlignment="1">
      <alignment horizontal="left"/>
    </xf>
  </cellXfs>
  <cellStyles count="2">
    <cellStyle name="Normal" xfId="0" builtinId="0"/>
    <cellStyle name="Vírgula" xfId="1" builtinId="3"/>
  </cellStyles>
  <dxfs count="10"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5" formatCode="_-* #,##0.0_-;\-* #,##0.0_-;_-* &quot;-&quot;??_-;_-@_-"/>
    </dxf>
    <dxf>
      <numFmt numFmtId="35" formatCode="_-* #,##0.00_-;\-* #,##0.00_-;_-* &quot;-&quot;??_-;_-@_-"/>
    </dxf>
    <dxf>
      <numFmt numFmtId="164" formatCode="_-* #,##0.000_-;\-* #,##0.000_-;_-* &quot;-&quot;??_-;_-@_-"/>
    </dxf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[dados_performance.xlsx]Mediana3!Tabela dinâmica2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Mediana3!$K$5:$K$6</c:f>
              <c:strCache>
                <c:ptCount val="1"/>
                <c:pt idx="0">
                  <c:v>CountSort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Mediana3!$J$7:$J$13</c:f>
              <c:strCache>
                <c:ptCount val="6"/>
                <c:pt idx="0">
                  <c:v> 1.000 </c:v>
                </c:pt>
                <c:pt idx="1">
                  <c:v> 5.000 </c:v>
                </c:pt>
                <c:pt idx="2">
                  <c:v> 10.000 </c:v>
                </c:pt>
                <c:pt idx="3">
                  <c:v> 50.000 </c:v>
                </c:pt>
                <c:pt idx="4">
                  <c:v> 100.000 </c:v>
                </c:pt>
                <c:pt idx="5">
                  <c:v> 500.000 </c:v>
                </c:pt>
              </c:strCache>
            </c:strRef>
          </c:cat>
          <c:val>
            <c:numRef>
              <c:f>Mediana3!$K$7:$K$13</c:f>
              <c:numCache>
                <c:formatCode>General</c:formatCode>
                <c:ptCount val="6"/>
                <c:pt idx="0">
                  <c:v>0.1527</c:v>
                </c:pt>
                <c:pt idx="1">
                  <c:v>0.55443299999999995</c:v>
                </c:pt>
                <c:pt idx="2">
                  <c:v>0.83160000000000001</c:v>
                </c:pt>
                <c:pt idx="3">
                  <c:v>0.444633</c:v>
                </c:pt>
                <c:pt idx="4">
                  <c:v>0.46679999999999999</c:v>
                </c:pt>
                <c:pt idx="5">
                  <c:v>5.3117000000000001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9E-426F-B148-4F3E99FFDCCA}"/>
            </c:ext>
          </c:extLst>
        </c:ser>
        <c:ser>
          <c:idx val="1"/>
          <c:order val="1"/>
          <c:tx>
            <c:strRef>
              <c:f>Mediana3!$L$5:$L$6</c:f>
              <c:strCache>
                <c:ptCount val="1"/>
                <c:pt idx="0">
                  <c:v>MergeSort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Mediana3!$J$7:$J$13</c:f>
              <c:strCache>
                <c:ptCount val="6"/>
                <c:pt idx="0">
                  <c:v> 1.000 </c:v>
                </c:pt>
                <c:pt idx="1">
                  <c:v> 5.000 </c:v>
                </c:pt>
                <c:pt idx="2">
                  <c:v> 10.000 </c:v>
                </c:pt>
                <c:pt idx="3">
                  <c:v> 50.000 </c:v>
                </c:pt>
                <c:pt idx="4">
                  <c:v> 100.000 </c:v>
                </c:pt>
                <c:pt idx="5">
                  <c:v> 500.000 </c:v>
                </c:pt>
              </c:strCache>
            </c:strRef>
          </c:cat>
          <c:val>
            <c:numRef>
              <c:f>Mediana3!$L$7:$L$13</c:f>
              <c:numCache>
                <c:formatCode>General</c:formatCode>
                <c:ptCount val="6"/>
                <c:pt idx="0">
                  <c:v>0.29649999999999999</c:v>
                </c:pt>
                <c:pt idx="1">
                  <c:v>0.56173300000000004</c:v>
                </c:pt>
                <c:pt idx="2">
                  <c:v>1.096733</c:v>
                </c:pt>
                <c:pt idx="3">
                  <c:v>8.6122329999999998</c:v>
                </c:pt>
                <c:pt idx="4">
                  <c:v>14.820866000000001</c:v>
                </c:pt>
                <c:pt idx="5">
                  <c:v>80.896600000000007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9E-426F-B148-4F3E99FFDCCA}"/>
            </c:ext>
          </c:extLst>
        </c:ser>
        <c:ser>
          <c:idx val="2"/>
          <c:order val="2"/>
          <c:tx>
            <c:strRef>
              <c:f>Mediana3!$M$5:$M$6</c:f>
              <c:strCache>
                <c:ptCount val="1"/>
                <c:pt idx="0">
                  <c:v>QuickSort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Mediana3!$J$7:$J$13</c:f>
              <c:strCache>
                <c:ptCount val="6"/>
                <c:pt idx="0">
                  <c:v> 1.000 </c:v>
                </c:pt>
                <c:pt idx="1">
                  <c:v> 5.000 </c:v>
                </c:pt>
                <c:pt idx="2">
                  <c:v> 10.000 </c:v>
                </c:pt>
                <c:pt idx="3">
                  <c:v> 50.000 </c:v>
                </c:pt>
                <c:pt idx="4">
                  <c:v> 100.000 </c:v>
                </c:pt>
                <c:pt idx="5">
                  <c:v> 500.000 </c:v>
                </c:pt>
              </c:strCache>
            </c:strRef>
          </c:cat>
          <c:val>
            <c:numRef>
              <c:f>Mediana3!$M$7:$M$13</c:f>
              <c:numCache>
                <c:formatCode>General</c:formatCode>
                <c:ptCount val="6"/>
                <c:pt idx="0">
                  <c:v>0.27176600000000001</c:v>
                </c:pt>
                <c:pt idx="1">
                  <c:v>0.43783300000000003</c:v>
                </c:pt>
                <c:pt idx="2">
                  <c:v>0.81526600000000005</c:v>
                </c:pt>
                <c:pt idx="3">
                  <c:v>4.5714329999999999</c:v>
                </c:pt>
                <c:pt idx="4">
                  <c:v>9.1104000000000003</c:v>
                </c:pt>
                <c:pt idx="5">
                  <c:v>45.891100000000002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9E-426F-B148-4F3E99FFD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1155552"/>
        <c:axId val="1191148352"/>
      </c:lineChart>
      <c:catAx>
        <c:axId val="119115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1148352"/>
        <c:crosses val="autoZero"/>
        <c:auto val="1"/>
        <c:lblAlgn val="ctr"/>
        <c:lblOffset val="100"/>
        <c:noMultiLvlLbl val="0"/>
      </c:catAx>
      <c:valAx>
        <c:axId val="119114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115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312420</xdr:colOff>
      <xdr:row>13</xdr:row>
      <xdr:rowOff>180022</xdr:rowOff>
    </xdr:from>
    <xdr:to>
      <xdr:col>14</xdr:col>
      <xdr:colOff>72390</xdr:colOff>
      <xdr:row>31</xdr:row>
      <xdr:rowOff>62865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F8A03CA-EC06-C0EC-1DF6-A6420907F6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s Almeida" refreshedDate="45982.807200462965" createdVersion="8" refreshedVersion="8" minRefreshableVersion="3" recordCount="24" xr:uid="{3CFB840B-6F39-4D47-8B7B-FC97FF894F94}">
  <cacheSource type="worksheet">
    <worksheetSource ref="A1:F25" sheet="Mediana3"/>
  </cacheSource>
  <cacheFields count="6">
    <cacheField name="Tamanho do Vetor" numFmtId="166">
      <sharedItems containsSemiMixedTypes="0" containsString="0" containsNumber="1" containsInteger="1" minValue="1000" maxValue="500000" count="6">
        <n v="1000"/>
        <n v="5000"/>
        <n v="10000"/>
        <n v="50000"/>
        <n v="100000"/>
        <n v="500000"/>
      </sharedItems>
    </cacheField>
    <cacheField name="Algoritmo" numFmtId="0">
      <sharedItems count="4">
        <s v="CountSort"/>
        <s v="InsertionSort"/>
        <s v="MergeSort"/>
        <s v="QuickSort"/>
      </sharedItems>
    </cacheField>
    <cacheField name="Tempo (ns)" numFmtId="0">
      <sharedItems containsSemiMixedTypes="0" containsString="0" containsNumber="1" containsInteger="1" minValue="152700" maxValue="59899113666"/>
    </cacheField>
    <cacheField name="Tempo (ms)" numFmtId="0">
      <sharedItems containsSemiMixedTypes="0" containsString="0" containsNumber="1" minValue="0.1527" maxValue="59899.113665999997"/>
    </cacheField>
    <cacheField name="Comparações" numFmtId="0">
      <sharedItems containsSemiMixedTypes="0" containsString="0" containsNumber="1" containsInteger="1" minValue="1998" maxValue="62457696397"/>
    </cacheField>
    <cacheField name="Movimentações" numFmtId="0">
      <sharedItems containsSemiMixedTypes="0" containsString="0" containsNumber="1" containsInteger="1" minValue="4000" maxValue="624576963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n v="152700"/>
    <n v="0.1527"/>
    <n v="1998"/>
    <n v="4000"/>
  </r>
  <r>
    <x v="0"/>
    <x v="1"/>
    <n v="1619366"/>
    <n v="1.6193660000000001"/>
    <n v="256159"/>
    <n v="256159"/>
  </r>
  <r>
    <x v="0"/>
    <x v="2"/>
    <n v="296500"/>
    <n v="0.29649999999999999"/>
    <n v="8712"/>
    <n v="19952"/>
  </r>
  <r>
    <x v="0"/>
    <x v="3"/>
    <n v="271766"/>
    <n v="0.27176600000000001"/>
    <n v="6822"/>
    <n v="7648"/>
  </r>
  <r>
    <x v="1"/>
    <x v="0"/>
    <n v="554433"/>
    <n v="0.55443299999999995"/>
    <n v="9998"/>
    <n v="16000"/>
  </r>
  <r>
    <x v="1"/>
    <x v="1"/>
    <n v="13506200"/>
    <n v="13.5062"/>
    <n v="6256660"/>
    <n v="6256660"/>
  </r>
  <r>
    <x v="1"/>
    <x v="2"/>
    <n v="561733"/>
    <n v="0.56173300000000004"/>
    <n v="55183"/>
    <n v="123616"/>
  </r>
  <r>
    <x v="1"/>
    <x v="3"/>
    <n v="437833"/>
    <n v="0.43783300000000003"/>
    <n v="37713"/>
    <n v="45431"/>
  </r>
  <r>
    <x v="2"/>
    <x v="0"/>
    <n v="831600"/>
    <n v="0.83160000000000001"/>
    <n v="19998"/>
    <n v="31000"/>
  </r>
  <r>
    <x v="2"/>
    <x v="1"/>
    <n v="16672833"/>
    <n v="16.672833000000001"/>
    <n v="24897335"/>
    <n v="24897335"/>
  </r>
  <r>
    <x v="2"/>
    <x v="2"/>
    <n v="1096733"/>
    <n v="1.096733"/>
    <n v="120458"/>
    <n v="267232"/>
  </r>
  <r>
    <x v="2"/>
    <x v="3"/>
    <n v="815266"/>
    <n v="0.81526600000000005"/>
    <n v="79656"/>
    <n v="99317"/>
  </r>
  <r>
    <x v="3"/>
    <x v="0"/>
    <n v="444633"/>
    <n v="0.444633"/>
    <n v="99998"/>
    <n v="151000"/>
  </r>
  <r>
    <x v="3"/>
    <x v="1"/>
    <n v="504910766"/>
    <n v="504.91076600000002"/>
    <n v="625178959"/>
    <n v="625178959"/>
  </r>
  <r>
    <x v="3"/>
    <x v="2"/>
    <n v="8612233"/>
    <n v="8.6122329999999998"/>
    <n v="718172"/>
    <n v="1568928"/>
  </r>
  <r>
    <x v="3"/>
    <x v="3"/>
    <n v="4571433"/>
    <n v="4.5714329999999999"/>
    <n v="451145"/>
    <n v="602294"/>
  </r>
  <r>
    <x v="4"/>
    <x v="0"/>
    <n v="466800"/>
    <n v="0.46679999999999999"/>
    <n v="199998"/>
    <n v="301000"/>
  </r>
  <r>
    <x v="4"/>
    <x v="1"/>
    <n v="2195900900"/>
    <n v="2195.9009000000001"/>
    <n v="2493769933"/>
    <n v="2493769933"/>
  </r>
  <r>
    <x v="4"/>
    <x v="2"/>
    <n v="14820866"/>
    <n v="14.820866000000001"/>
    <n v="1536133"/>
    <n v="3337856"/>
  </r>
  <r>
    <x v="4"/>
    <x v="3"/>
    <n v="9110400"/>
    <n v="9.1104000000000003"/>
    <n v="950272"/>
    <n v="1300548"/>
  </r>
  <r>
    <x v="5"/>
    <x v="0"/>
    <n v="5311700"/>
    <n v="5.3117000000000001"/>
    <n v="999998"/>
    <n v="1501000"/>
  </r>
  <r>
    <x v="5"/>
    <x v="1"/>
    <n v="59899113666"/>
    <n v="59899.113665999997"/>
    <n v="62457696397"/>
    <n v="62457696397"/>
  </r>
  <r>
    <x v="5"/>
    <x v="2"/>
    <n v="80896600"/>
    <n v="80.896600000000007"/>
    <n v="8835557"/>
    <n v="18951424"/>
  </r>
  <r>
    <x v="5"/>
    <x v="3"/>
    <n v="45891100"/>
    <n v="45.891100000000002"/>
    <n v="5325687"/>
    <n v="765137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99B50F-9006-48B7-8E99-9BEFED62E371}" name="Tabela dinâmica2" cacheId="7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J5:N13" firstHeaderRow="1" firstDataRow="2" firstDataCol="1"/>
  <pivotFields count="6">
    <pivotField axis="axisRow" numFmtId="166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5">
        <item x="0"/>
        <item h="1" x="1"/>
        <item x="2"/>
        <item x="3"/>
        <item t="default"/>
      </items>
    </pivotField>
    <pivotField showAll="0"/>
    <pivotField dataField="1"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2"/>
    </i>
    <i>
      <x v="3"/>
    </i>
    <i t="grand">
      <x/>
    </i>
  </colItems>
  <dataFields count="1">
    <dataField name="Soma de Tempo (ms)" fld="3" baseField="0" baseItem="0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5A1AA-3330-41C5-942D-FB91CAB3A118}">
  <dimension ref="A1:R25"/>
  <sheetViews>
    <sheetView tabSelected="1" workbookViewId="0">
      <selection activeCell="P22" sqref="P22"/>
    </sheetView>
  </sheetViews>
  <sheetFormatPr defaultRowHeight="14.4" x14ac:dyDescent="0.3"/>
  <cols>
    <col min="1" max="1" width="21.6640625" style="2" bestFit="1" customWidth="1"/>
    <col min="2" max="2" width="15.109375" style="2" customWidth="1"/>
    <col min="3" max="3" width="12" style="2" bestFit="1" customWidth="1"/>
    <col min="4" max="4" width="12" style="2" customWidth="1"/>
    <col min="5" max="5" width="13" style="2" bestFit="1" customWidth="1"/>
    <col min="6" max="6" width="14.5546875" style="2" bestFit="1" customWidth="1"/>
    <col min="7" max="9" width="8.88671875" style="2"/>
    <col min="10" max="11" width="19.5546875" style="2" bestFit="1" customWidth="1"/>
    <col min="12" max="12" width="11" style="2" bestFit="1" customWidth="1"/>
    <col min="13" max="13" width="10" style="2" bestFit="1" customWidth="1"/>
    <col min="14" max="14" width="11" style="2" bestFit="1" customWidth="1"/>
    <col min="15" max="15" width="12" style="2" bestFit="1" customWidth="1"/>
    <col min="16" max="18" width="8.88671875" style="2"/>
  </cols>
  <sheetData>
    <row r="1" spans="1:15" x14ac:dyDescent="0.3">
      <c r="A1" s="2" t="s">
        <v>6</v>
      </c>
      <c r="B1" s="2" t="s">
        <v>7</v>
      </c>
      <c r="C1" s="2" t="s">
        <v>8</v>
      </c>
      <c r="D1" s="2" t="s">
        <v>12</v>
      </c>
      <c r="E1" s="2" t="s">
        <v>9</v>
      </c>
      <c r="F1" s="2" t="s">
        <v>10</v>
      </c>
    </row>
    <row r="2" spans="1:15" x14ac:dyDescent="0.3">
      <c r="A2" s="5">
        <v>1000</v>
      </c>
      <c r="B2" s="2" t="s">
        <v>0</v>
      </c>
      <c r="C2" s="3">
        <v>152700</v>
      </c>
      <c r="D2" s="3">
        <f>C2/1000000</f>
        <v>0.1527</v>
      </c>
      <c r="E2" s="3">
        <v>1998</v>
      </c>
      <c r="F2" s="3">
        <v>4000</v>
      </c>
    </row>
    <row r="3" spans="1:15" x14ac:dyDescent="0.3">
      <c r="A3" s="5">
        <v>1000</v>
      </c>
      <c r="B3" s="2" t="s">
        <v>3</v>
      </c>
      <c r="C3" s="3">
        <v>1619366</v>
      </c>
      <c r="D3" s="3">
        <f t="shared" ref="D3:D25" si="0">C3/1000000</f>
        <v>1.6193660000000001</v>
      </c>
      <c r="E3" s="3">
        <v>256159</v>
      </c>
      <c r="F3" s="3">
        <v>256159</v>
      </c>
    </row>
    <row r="4" spans="1:15" x14ac:dyDescent="0.3">
      <c r="A4" s="5">
        <v>1000</v>
      </c>
      <c r="B4" s="2" t="s">
        <v>1</v>
      </c>
      <c r="C4" s="3">
        <v>296500</v>
      </c>
      <c r="D4" s="3">
        <f t="shared" si="0"/>
        <v>0.29649999999999999</v>
      </c>
      <c r="E4" s="3">
        <v>8712</v>
      </c>
      <c r="F4" s="3">
        <v>19952</v>
      </c>
      <c r="J4"/>
      <c r="K4"/>
      <c r="L4"/>
      <c r="M4"/>
      <c r="N4"/>
      <c r="O4"/>
    </row>
    <row r="5" spans="1:15" x14ac:dyDescent="0.3">
      <c r="A5" s="5">
        <v>1000</v>
      </c>
      <c r="B5" s="2" t="s">
        <v>2</v>
      </c>
      <c r="C5" s="3">
        <v>271766</v>
      </c>
      <c r="D5" s="3">
        <f t="shared" si="0"/>
        <v>0.27176600000000001</v>
      </c>
      <c r="E5" s="3">
        <v>6822</v>
      </c>
      <c r="F5" s="3">
        <v>7648</v>
      </c>
      <c r="J5" s="1" t="s">
        <v>13</v>
      </c>
      <c r="K5" s="1" t="s">
        <v>5</v>
      </c>
      <c r="L5"/>
      <c r="M5"/>
      <c r="N5"/>
      <c r="O5"/>
    </row>
    <row r="6" spans="1:15" x14ac:dyDescent="0.3">
      <c r="A6" s="5">
        <v>5000</v>
      </c>
      <c r="B6" s="2" t="s">
        <v>0</v>
      </c>
      <c r="C6" s="3">
        <v>554433</v>
      </c>
      <c r="D6" s="3">
        <f t="shared" si="0"/>
        <v>0.55443299999999995</v>
      </c>
      <c r="E6" s="3">
        <v>9998</v>
      </c>
      <c r="F6" s="3">
        <v>16000</v>
      </c>
      <c r="J6" s="1" t="s">
        <v>4</v>
      </c>
      <c r="K6" t="s">
        <v>0</v>
      </c>
      <c r="L6" t="s">
        <v>1</v>
      </c>
      <c r="M6" t="s">
        <v>2</v>
      </c>
      <c r="N6" t="s">
        <v>11</v>
      </c>
      <c r="O6"/>
    </row>
    <row r="7" spans="1:15" x14ac:dyDescent="0.3">
      <c r="A7" s="5">
        <v>5000</v>
      </c>
      <c r="B7" s="2" t="s">
        <v>3</v>
      </c>
      <c r="C7" s="3">
        <v>13506200</v>
      </c>
      <c r="D7" s="3">
        <f t="shared" si="0"/>
        <v>13.5062</v>
      </c>
      <c r="E7" s="3">
        <v>6256660</v>
      </c>
      <c r="F7" s="3">
        <v>6256660</v>
      </c>
      <c r="J7" s="6">
        <v>1000</v>
      </c>
      <c r="K7" s="4">
        <v>0.1527</v>
      </c>
      <c r="L7" s="4">
        <v>0.29649999999999999</v>
      </c>
      <c r="M7" s="4">
        <v>0.27176600000000001</v>
      </c>
      <c r="N7" s="4">
        <v>0.720966</v>
      </c>
      <c r="O7"/>
    </row>
    <row r="8" spans="1:15" x14ac:dyDescent="0.3">
      <c r="A8" s="5">
        <v>5000</v>
      </c>
      <c r="B8" s="2" t="s">
        <v>1</v>
      </c>
      <c r="C8" s="3">
        <v>561733</v>
      </c>
      <c r="D8" s="3">
        <f t="shared" si="0"/>
        <v>0.56173300000000004</v>
      </c>
      <c r="E8" s="3">
        <v>55183</v>
      </c>
      <c r="F8" s="3">
        <v>123616</v>
      </c>
      <c r="J8" s="6">
        <v>5000</v>
      </c>
      <c r="K8" s="4">
        <v>0.55443299999999995</v>
      </c>
      <c r="L8" s="4">
        <v>0.56173300000000004</v>
      </c>
      <c r="M8" s="4">
        <v>0.43783300000000003</v>
      </c>
      <c r="N8" s="4">
        <v>1.5539990000000001</v>
      </c>
      <c r="O8"/>
    </row>
    <row r="9" spans="1:15" x14ac:dyDescent="0.3">
      <c r="A9" s="5">
        <v>5000</v>
      </c>
      <c r="B9" s="2" t="s">
        <v>2</v>
      </c>
      <c r="C9" s="3">
        <v>437833</v>
      </c>
      <c r="D9" s="3">
        <f t="shared" si="0"/>
        <v>0.43783300000000003</v>
      </c>
      <c r="E9" s="3">
        <v>37713</v>
      </c>
      <c r="F9" s="3">
        <v>45431</v>
      </c>
      <c r="J9" s="6">
        <v>10000</v>
      </c>
      <c r="K9" s="4">
        <v>0.83160000000000001</v>
      </c>
      <c r="L9" s="4">
        <v>1.096733</v>
      </c>
      <c r="M9" s="4">
        <v>0.81526600000000005</v>
      </c>
      <c r="N9" s="4">
        <v>2.7435989999999997</v>
      </c>
      <c r="O9"/>
    </row>
    <row r="10" spans="1:15" x14ac:dyDescent="0.3">
      <c r="A10" s="5">
        <v>10000</v>
      </c>
      <c r="B10" s="2" t="s">
        <v>0</v>
      </c>
      <c r="C10" s="3">
        <v>831600</v>
      </c>
      <c r="D10" s="3">
        <f t="shared" si="0"/>
        <v>0.83160000000000001</v>
      </c>
      <c r="E10" s="3">
        <v>19998</v>
      </c>
      <c r="F10" s="3">
        <v>31000</v>
      </c>
      <c r="J10" s="6">
        <v>50000</v>
      </c>
      <c r="K10" s="4">
        <v>0.444633</v>
      </c>
      <c r="L10" s="4">
        <v>8.6122329999999998</v>
      </c>
      <c r="M10" s="4">
        <v>4.5714329999999999</v>
      </c>
      <c r="N10" s="4">
        <v>13.628298999999998</v>
      </c>
      <c r="O10"/>
    </row>
    <row r="11" spans="1:15" x14ac:dyDescent="0.3">
      <c r="A11" s="5">
        <v>10000</v>
      </c>
      <c r="B11" s="2" t="s">
        <v>3</v>
      </c>
      <c r="C11" s="3">
        <v>16672833</v>
      </c>
      <c r="D11" s="3">
        <f t="shared" si="0"/>
        <v>16.672833000000001</v>
      </c>
      <c r="E11" s="3">
        <v>24897335</v>
      </c>
      <c r="F11" s="3">
        <v>24897335</v>
      </c>
      <c r="J11" s="6">
        <v>100000</v>
      </c>
      <c r="K11" s="4">
        <v>0.46679999999999999</v>
      </c>
      <c r="L11" s="4">
        <v>14.820866000000001</v>
      </c>
      <c r="M11" s="4">
        <v>9.1104000000000003</v>
      </c>
      <c r="N11" s="4">
        <v>24.398066</v>
      </c>
      <c r="O11"/>
    </row>
    <row r="12" spans="1:15" x14ac:dyDescent="0.3">
      <c r="A12" s="5">
        <v>10000</v>
      </c>
      <c r="B12" s="2" t="s">
        <v>1</v>
      </c>
      <c r="C12" s="3">
        <v>1096733</v>
      </c>
      <c r="D12" s="3">
        <f t="shared" si="0"/>
        <v>1.096733</v>
      </c>
      <c r="E12" s="3">
        <v>120458</v>
      </c>
      <c r="F12" s="3">
        <v>267232</v>
      </c>
      <c r="J12" s="6">
        <v>500000</v>
      </c>
      <c r="K12" s="4">
        <v>5.3117000000000001</v>
      </c>
      <c r="L12" s="4">
        <v>80.896600000000007</v>
      </c>
      <c r="M12" s="4">
        <v>45.891100000000002</v>
      </c>
      <c r="N12" s="4">
        <v>132.0994</v>
      </c>
      <c r="O12"/>
    </row>
    <row r="13" spans="1:15" x14ac:dyDescent="0.3">
      <c r="A13" s="5">
        <v>10000</v>
      </c>
      <c r="B13" s="2" t="s">
        <v>2</v>
      </c>
      <c r="C13" s="3">
        <v>815266</v>
      </c>
      <c r="D13" s="3">
        <f t="shared" si="0"/>
        <v>0.81526600000000005</v>
      </c>
      <c r="E13" s="3">
        <v>79656</v>
      </c>
      <c r="F13" s="3">
        <v>99317</v>
      </c>
      <c r="J13" s="6" t="s">
        <v>11</v>
      </c>
      <c r="K13" s="4">
        <v>7.7618660000000004</v>
      </c>
      <c r="L13" s="4">
        <v>106.284665</v>
      </c>
      <c r="M13" s="4">
        <v>61.097797999999997</v>
      </c>
      <c r="N13" s="4">
        <v>175.144329</v>
      </c>
      <c r="O13"/>
    </row>
    <row r="14" spans="1:15" x14ac:dyDescent="0.3">
      <c r="A14" s="5">
        <v>50000</v>
      </c>
      <c r="B14" s="2" t="s">
        <v>0</v>
      </c>
      <c r="C14" s="3">
        <v>444633</v>
      </c>
      <c r="D14" s="3">
        <f t="shared" si="0"/>
        <v>0.444633</v>
      </c>
      <c r="E14" s="3">
        <v>99998</v>
      </c>
      <c r="F14" s="3">
        <v>151000</v>
      </c>
      <c r="J14"/>
      <c r="K14"/>
      <c r="L14"/>
    </row>
    <row r="15" spans="1:15" x14ac:dyDescent="0.3">
      <c r="A15" s="5">
        <v>50000</v>
      </c>
      <c r="B15" s="2" t="s">
        <v>3</v>
      </c>
      <c r="C15" s="3">
        <v>504910766</v>
      </c>
      <c r="D15" s="3">
        <f t="shared" si="0"/>
        <v>504.91076600000002</v>
      </c>
      <c r="E15" s="3">
        <v>625178959</v>
      </c>
      <c r="F15" s="3">
        <v>625178959</v>
      </c>
      <c r="J15"/>
      <c r="K15"/>
      <c r="L15"/>
    </row>
    <row r="16" spans="1:15" x14ac:dyDescent="0.3">
      <c r="A16" s="5">
        <v>50000</v>
      </c>
      <c r="B16" s="2" t="s">
        <v>1</v>
      </c>
      <c r="C16" s="3">
        <v>8612233</v>
      </c>
      <c r="D16" s="3">
        <f t="shared" si="0"/>
        <v>8.6122329999999998</v>
      </c>
      <c r="E16" s="3">
        <v>718172</v>
      </c>
      <c r="F16" s="3">
        <v>1568928</v>
      </c>
      <c r="J16"/>
      <c r="K16"/>
      <c r="L16"/>
    </row>
    <row r="17" spans="1:12" x14ac:dyDescent="0.3">
      <c r="A17" s="5">
        <v>50000</v>
      </c>
      <c r="B17" s="2" t="s">
        <v>2</v>
      </c>
      <c r="C17" s="3">
        <v>4571433</v>
      </c>
      <c r="D17" s="3">
        <f t="shared" si="0"/>
        <v>4.5714329999999999</v>
      </c>
      <c r="E17" s="3">
        <v>451145</v>
      </c>
      <c r="F17" s="3">
        <v>602294</v>
      </c>
      <c r="J17"/>
      <c r="K17"/>
      <c r="L17"/>
    </row>
    <row r="18" spans="1:12" x14ac:dyDescent="0.3">
      <c r="A18" s="5">
        <v>100000</v>
      </c>
      <c r="B18" s="2" t="s">
        <v>0</v>
      </c>
      <c r="C18" s="3">
        <v>466800</v>
      </c>
      <c r="D18" s="3">
        <f t="shared" si="0"/>
        <v>0.46679999999999999</v>
      </c>
      <c r="E18" s="3">
        <v>199998</v>
      </c>
      <c r="F18" s="3">
        <v>301000</v>
      </c>
      <c r="J18"/>
      <c r="K18"/>
      <c r="L18"/>
    </row>
    <row r="19" spans="1:12" x14ac:dyDescent="0.3">
      <c r="A19" s="5">
        <v>100000</v>
      </c>
      <c r="B19" s="2" t="s">
        <v>3</v>
      </c>
      <c r="C19" s="3">
        <v>2195900900</v>
      </c>
      <c r="D19" s="3">
        <f t="shared" si="0"/>
        <v>2195.9009000000001</v>
      </c>
      <c r="E19" s="3">
        <v>2493769933</v>
      </c>
      <c r="F19" s="3">
        <v>2493769933</v>
      </c>
      <c r="J19"/>
      <c r="K19"/>
      <c r="L19"/>
    </row>
    <row r="20" spans="1:12" x14ac:dyDescent="0.3">
      <c r="A20" s="5">
        <v>100000</v>
      </c>
      <c r="B20" s="2" t="s">
        <v>1</v>
      </c>
      <c r="C20" s="3">
        <v>14820866</v>
      </c>
      <c r="D20" s="3">
        <f t="shared" si="0"/>
        <v>14.820866000000001</v>
      </c>
      <c r="E20" s="3">
        <v>1536133</v>
      </c>
      <c r="F20" s="3">
        <v>3337856</v>
      </c>
      <c r="J20"/>
      <c r="K20"/>
      <c r="L20"/>
    </row>
    <row r="21" spans="1:12" x14ac:dyDescent="0.3">
      <c r="A21" s="5">
        <v>100000</v>
      </c>
      <c r="B21" s="2" t="s">
        <v>2</v>
      </c>
      <c r="C21" s="3">
        <v>9110400</v>
      </c>
      <c r="D21" s="3">
        <f t="shared" si="0"/>
        <v>9.1104000000000003</v>
      </c>
      <c r="E21" s="3">
        <v>950272</v>
      </c>
      <c r="F21" s="3">
        <v>1300548</v>
      </c>
      <c r="J21"/>
      <c r="K21"/>
      <c r="L21"/>
    </row>
    <row r="22" spans="1:12" x14ac:dyDescent="0.3">
      <c r="A22" s="5">
        <v>500000</v>
      </c>
      <c r="B22" s="2" t="s">
        <v>0</v>
      </c>
      <c r="C22" s="3">
        <v>5311700</v>
      </c>
      <c r="D22" s="3">
        <f t="shared" si="0"/>
        <v>5.3117000000000001</v>
      </c>
      <c r="E22" s="3">
        <v>999998</v>
      </c>
      <c r="F22" s="3">
        <v>1501000</v>
      </c>
      <c r="J22"/>
      <c r="K22"/>
      <c r="L22"/>
    </row>
    <row r="23" spans="1:12" x14ac:dyDescent="0.3">
      <c r="A23" s="5">
        <v>500000</v>
      </c>
      <c r="B23" s="2" t="s">
        <v>3</v>
      </c>
      <c r="C23" s="3">
        <v>59899113666</v>
      </c>
      <c r="D23" s="3">
        <f t="shared" si="0"/>
        <v>59899.113665999997</v>
      </c>
      <c r="E23" s="3">
        <v>62457696397</v>
      </c>
      <c r="F23" s="3">
        <v>62457696397</v>
      </c>
    </row>
    <row r="24" spans="1:12" x14ac:dyDescent="0.3">
      <c r="A24" s="5">
        <v>500000</v>
      </c>
      <c r="B24" s="2" t="s">
        <v>1</v>
      </c>
      <c r="C24" s="3">
        <v>80896600</v>
      </c>
      <c r="D24" s="3">
        <f t="shared" si="0"/>
        <v>80.896600000000007</v>
      </c>
      <c r="E24" s="3">
        <v>8835557</v>
      </c>
      <c r="F24" s="3">
        <v>18951424</v>
      </c>
    </row>
    <row r="25" spans="1:12" x14ac:dyDescent="0.3">
      <c r="A25" s="5">
        <v>500000</v>
      </c>
      <c r="B25" s="2" t="s">
        <v>2</v>
      </c>
      <c r="C25" s="3">
        <v>45891100</v>
      </c>
      <c r="D25" s="3">
        <f t="shared" si="0"/>
        <v>45.891100000000002</v>
      </c>
      <c r="E25" s="3">
        <v>5325687</v>
      </c>
      <c r="F25" s="3">
        <v>7651378</v>
      </c>
    </row>
  </sheetData>
  <pageMargins left="0.511811024" right="0.511811024" top="0.78740157499999996" bottom="0.78740157499999996" header="0.31496062000000002" footer="0.31496062000000002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Mediana3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Almeida</dc:creator>
  <cp:lastModifiedBy>Marcos Almeida</cp:lastModifiedBy>
  <dcterms:created xsi:type="dcterms:W3CDTF">2025-11-20T19:10:38Z</dcterms:created>
  <dcterms:modified xsi:type="dcterms:W3CDTF">2025-11-21T22:23:52Z</dcterms:modified>
</cp:coreProperties>
</file>