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co\OneDrive\Área de Trabalho\RAFAEL\Faculdade\EstruturaDados\A3\"/>
    </mc:Choice>
  </mc:AlternateContent>
  <xr:revisionPtr revIDLastSave="0" documentId="13_ncr:1_{503D99A1-9281-407E-A82B-0A9882DB1DC9}" xr6:coauthVersionLast="47" xr6:coauthVersionMax="47" xr10:uidLastSave="{00000000-0000-0000-0000-000000000000}"/>
  <bookViews>
    <workbookView xWindow="28680" yWindow="-120" windowWidth="29040" windowHeight="15720" activeTab="2" xr2:uid="{70028377-6DC5-4CB3-A256-B7E3A20DCCBF}"/>
  </bookViews>
  <sheets>
    <sheet name="vetorAleatorio" sheetId="3" r:id="rId1"/>
    <sheet name="vetorOrdenadoCrescente" sheetId="6" r:id="rId2"/>
    <sheet name="vetorOrdenadoDecrescente" sheetId="7" r:id="rId3"/>
  </sheets>
  <calcPr calcId="191029"/>
  <pivotCaches>
    <pivotCache cacheId="0" r:id="rId4"/>
    <pivotCache cacheId="1" r:id="rId5"/>
    <pivotCache cacheId="7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2" i="6"/>
  <c r="D26" i="3"/>
  <c r="D27" i="3"/>
  <c r="D2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" i="3"/>
</calcChain>
</file>

<file path=xl/sharedStrings.xml><?xml version="1.0" encoding="utf-8"?>
<sst xmlns="http://schemas.openxmlformats.org/spreadsheetml/2006/main" count="157" uniqueCount="21">
  <si>
    <t>CountSort</t>
  </si>
  <si>
    <t>MergeSort</t>
  </si>
  <si>
    <t>QuickSort</t>
  </si>
  <si>
    <t>InsertionSort</t>
  </si>
  <si>
    <t>Rótulos de Linha</t>
  </si>
  <si>
    <t>Rótulos de Coluna</t>
  </si>
  <si>
    <t>Tamanho do Vetor</t>
  </si>
  <si>
    <t>Algoritmo</t>
  </si>
  <si>
    <t>Tempo (ns)</t>
  </si>
  <si>
    <t>Comparações</t>
  </si>
  <si>
    <t>Movimentações</t>
  </si>
  <si>
    <t>Tempo (ms)</t>
  </si>
  <si>
    <t>Tempo médio (ms)</t>
  </si>
  <si>
    <t>Algoritmos</t>
  </si>
  <si>
    <t>Qtd. De Comparações</t>
  </si>
  <si>
    <t>Qtd. de Movimentações</t>
  </si>
  <si>
    <t>Tempo Médio (ms)</t>
  </si>
  <si>
    <t>Qtd. Comparações</t>
  </si>
  <si>
    <t>Qtd. Movimentações</t>
  </si>
  <si>
    <t>Qtd. Média Comparações</t>
  </si>
  <si>
    <t>Qtd. Média Movimentações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</si>
</sst>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pivotButton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164" fontId="0" fillId="0" borderId="0" xfId="0" applyNumberFormat="1" applyAlignment="1">
      <alignment horizontal="left"/>
    </xf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/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64" fontId="2" fillId="0" borderId="0" xfId="1" applyNumberFormat="1" applyFont="1"/>
    <xf numFmtId="165" fontId="0" fillId="0" borderId="0" xfId="0" applyNumberFormat="1"/>
    <xf numFmtId="0" fontId="2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right" vertical="center"/>
    </xf>
    <xf numFmtId="0" fontId="0" fillId="0" borderId="0" xfId="0" applyNumberFormat="1"/>
    <xf numFmtId="164" fontId="2" fillId="0" borderId="0" xfId="1" applyNumberFormat="1" applyFont="1" applyAlignment="1">
      <alignment horizontal="right" vertical="center"/>
    </xf>
  </cellXfs>
  <cellStyles count="2">
    <cellStyle name="Normal" xfId="0" builtinId="0"/>
    <cellStyle name="Vírgula" xfId="1" builtinId="3"/>
  </cellStyles>
  <dxfs count="58">
    <dxf>
      <numFmt numFmtId="165" formatCode="0.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numFmt numFmtId="164" formatCode="_-* #,##0_-;\-* #,##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[dados_performance_v2.xlsx]vetorAleatorio!Tabela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pt-BR" sz="1200" b="1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Tempo de Execução  por Tamanho</a:t>
            </a:r>
            <a:r>
              <a:rPr lang="pt-BR" sz="1200" b="1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do Vetor e Algoritmo</a:t>
            </a:r>
            <a:endParaRPr lang="pt-BR" sz="1200" b="1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9772141531203025"/>
          <c:y val="2.0331398595308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4308146274633781E-3"/>
              <c:y val="-2.444240365699416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01304DD-1A8E-47DC-99E9-6068F355E5C0}" type="SERIESNAME">
                  <a:rPr lang="en-US">
                    <a:solidFill>
                      <a:schemeClr val="accent2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pPr>
                    <a:defRPr/>
                  </a:pPr>
                  <a:t>[NOME DA SÉRIE]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154073137318435E-3"/>
              <c:y val="-8.147467885664871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3231109705975336E-3"/>
              <c:y val="-2.44424036569941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599639200964561E-2"/>
          <c:y val="0.1874148322515535"/>
          <c:w val="0.84979939474053257"/>
          <c:h val="0.63235420306040369"/>
        </c:manualLayout>
      </c:layout>
      <c:lineChart>
        <c:grouping val="standard"/>
        <c:varyColors val="0"/>
        <c:ser>
          <c:idx val="0"/>
          <c:order val="0"/>
          <c:tx>
            <c:strRef>
              <c:f>vetorAleatorio!$K$5:$K$6</c:f>
              <c:strCache>
                <c:ptCount val="1"/>
                <c:pt idx="0">
                  <c:v>CountSort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D68D-4561-88BB-5CE343C3648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D68D-4561-88BB-5CE343C3648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D68D-4561-88BB-5CE343C3648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D68D-4561-88BB-5CE343C36480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D68D-4561-88BB-5CE343C36480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D68D-4561-88BB-5CE343C36480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D68D-4561-88BB-5CE343C3648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68D-4561-88BB-5CE343C3648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68D-4561-88BB-5CE343C3648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68D-4561-88BB-5CE343C3648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68D-4561-88BB-5CE343C3648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68D-4561-88BB-5CE343C3648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68D-4561-88BB-5CE343C36480}"/>
                </c:ext>
              </c:extLst>
            </c:dLbl>
            <c:dLbl>
              <c:idx val="6"/>
              <c:layout>
                <c:manualLayout>
                  <c:x val="-4.2154073137318435E-3"/>
                  <c:y val="-8.1474678856648716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68D-4561-88BB-5CE343C364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vetorAleatorio!$J$7:$J$13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vetorAleatorio!$K$7:$K$13</c:f>
              <c:numCache>
                <c:formatCode>0.0000</c:formatCode>
                <c:ptCount val="7"/>
                <c:pt idx="0">
                  <c:v>0.1527</c:v>
                </c:pt>
                <c:pt idx="1">
                  <c:v>0.55443299999999995</c:v>
                </c:pt>
                <c:pt idx="2">
                  <c:v>0.83160000000000001</c:v>
                </c:pt>
                <c:pt idx="3">
                  <c:v>0.444633</c:v>
                </c:pt>
                <c:pt idx="4">
                  <c:v>0.46679999999999999</c:v>
                </c:pt>
                <c:pt idx="5">
                  <c:v>5.3117000000000001</c:v>
                </c:pt>
                <c:pt idx="6">
                  <c:v>11.6839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E-426F-B148-4F3E99FFDCCA}"/>
            </c:ext>
          </c:extLst>
        </c:ser>
        <c:ser>
          <c:idx val="1"/>
          <c:order val="1"/>
          <c:tx>
            <c:strRef>
              <c:f>vetorAleatorio!$L$5:$L$6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D68D-4561-88BB-5CE343C36480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D68D-4561-88BB-5CE343C36480}"/>
              </c:ext>
            </c:extLst>
          </c:dPt>
          <c:dLbls>
            <c:dLbl>
              <c:idx val="6"/>
              <c:layout>
                <c:manualLayout>
                  <c:x val="-8.4308146274633781E-3"/>
                  <c:y val="-2.4442403656994169E-2"/>
                </c:manualLayout>
              </c:layout>
              <c:tx>
                <c:rich>
                  <a:bodyPr/>
                  <a:lstStyle/>
                  <a:p>
                    <a:fld id="{501304DD-1A8E-47DC-99E9-6068F355E5C0}" type="SERIESNAME">
                      <a:rPr lang="en-US">
                        <a:solidFill>
                          <a:schemeClr val="accent2"/>
                        </a:solidFill>
                        <a:latin typeface="Calibri" panose="020F0502020204030204" pitchFamily="34" charset="0"/>
                        <a:ea typeface="Calibri" panose="020F0502020204030204" pitchFamily="34" charset="0"/>
                        <a:cs typeface="Calibri" panose="020F0502020204030204" pitchFamily="34" charset="0"/>
                      </a:rPr>
                      <a:pPr/>
                      <a:t>[NOME DA SÉRIE]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7-D68D-4561-88BB-5CE343C364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vetorAleatorio!$J$7:$J$13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vetorAleatorio!$L$7:$L$13</c:f>
              <c:numCache>
                <c:formatCode>0.0000</c:formatCode>
                <c:ptCount val="7"/>
                <c:pt idx="0">
                  <c:v>0.29649999999999999</c:v>
                </c:pt>
                <c:pt idx="1">
                  <c:v>0.56173300000000004</c:v>
                </c:pt>
                <c:pt idx="2">
                  <c:v>1.096733</c:v>
                </c:pt>
                <c:pt idx="3">
                  <c:v>8.6122329999999998</c:v>
                </c:pt>
                <c:pt idx="4">
                  <c:v>14.820866000000001</c:v>
                </c:pt>
                <c:pt idx="5">
                  <c:v>80.896600000000007</c:v>
                </c:pt>
                <c:pt idx="6">
                  <c:v>185.46856600000001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E-426F-B148-4F3E99FFDCCA}"/>
            </c:ext>
          </c:extLst>
        </c:ser>
        <c:ser>
          <c:idx val="2"/>
          <c:order val="2"/>
          <c:tx>
            <c:strRef>
              <c:f>vetorAleatorio!$M$5:$M$6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D68D-4561-88BB-5CE343C3648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D68D-4561-88BB-5CE343C3648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D68D-4561-88BB-5CE343C3648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D68D-4561-88BB-5CE343C36480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D68D-4561-88BB-5CE343C36480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D68D-4561-88BB-5CE343C36480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D68D-4561-88BB-5CE343C3648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68D-4561-88BB-5CE343C3648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68D-4561-88BB-5CE343C3648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68D-4561-88BB-5CE343C3648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68D-4561-88BB-5CE343C3648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68D-4561-88BB-5CE343C3648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68D-4561-88BB-5CE343C36480}"/>
                </c:ext>
              </c:extLst>
            </c:dLbl>
            <c:dLbl>
              <c:idx val="6"/>
              <c:layout>
                <c:manualLayout>
                  <c:x val="-6.3231109705975336E-3"/>
                  <c:y val="-2.444240365699416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68D-4561-88BB-5CE343C364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vetorAleatorio!$J$7:$J$13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vetorAleatorio!$M$7:$M$13</c:f>
              <c:numCache>
                <c:formatCode>0.0000</c:formatCode>
                <c:ptCount val="7"/>
                <c:pt idx="0">
                  <c:v>0.27176600000000001</c:v>
                </c:pt>
                <c:pt idx="1">
                  <c:v>0.43783300000000003</c:v>
                </c:pt>
                <c:pt idx="2">
                  <c:v>0.81526600000000005</c:v>
                </c:pt>
                <c:pt idx="3">
                  <c:v>4.5714329999999999</c:v>
                </c:pt>
                <c:pt idx="4">
                  <c:v>9.1104000000000003</c:v>
                </c:pt>
                <c:pt idx="5">
                  <c:v>45.891100000000002</c:v>
                </c:pt>
                <c:pt idx="6">
                  <c:v>114.64019999999999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E-426F-B148-4F3E99FFD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155552"/>
        <c:axId val="1191148352"/>
      </c:lineChart>
      <c:catAx>
        <c:axId val="1191155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Tamanho do Vetor</a:t>
                </a:r>
              </a:p>
            </c:rich>
          </c:tx>
          <c:layout>
            <c:manualLayout>
              <c:xMode val="edge"/>
              <c:yMode val="edge"/>
              <c:x val="0.40851142439334609"/>
              <c:y val="0.917840658186605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191148352"/>
        <c:crosses val="autoZero"/>
        <c:auto val="1"/>
        <c:lblAlgn val="ctr"/>
        <c:lblOffset val="100"/>
        <c:noMultiLvlLbl val="0"/>
      </c:catAx>
      <c:valAx>
        <c:axId val="1191148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Tempo Execução (ms)</a:t>
                </a:r>
              </a:p>
            </c:rich>
          </c:tx>
          <c:layout>
            <c:manualLayout>
              <c:xMode val="edge"/>
              <c:yMode val="edge"/>
              <c:x val="8.3214343341466001E-3"/>
              <c:y val="0.31080954074904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19115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[dados_performance_v2.xlsx]vetorAleatorio!Tabela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pt-BR" sz="12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Qtd.</a:t>
            </a:r>
            <a:r>
              <a:rPr lang="pt-BR" sz="12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Comparações por Tamanho do Vetor e Algoritmo</a:t>
            </a:r>
            <a:endParaRPr lang="pt-BR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25419092420727923"/>
          <c:y val="8.10783290075597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2.02695822518899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2.02695822518899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4955131271580537E-16"/>
              <c:y val="-2.02695822518899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18195825093598"/>
          <c:y val="0.14046820500559729"/>
          <c:w val="0.78892615227967477"/>
          <c:h val="0.67952449794479208"/>
        </c:manualLayout>
      </c:layout>
      <c:lineChart>
        <c:grouping val="standard"/>
        <c:varyColors val="0"/>
        <c:ser>
          <c:idx val="0"/>
          <c:order val="0"/>
          <c:tx>
            <c:strRef>
              <c:f>vetorAleatorio!$S$5:$S$6</c:f>
              <c:strCache>
                <c:ptCount val="1"/>
                <c:pt idx="0">
                  <c:v>CountSort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C0C5-4CB7-B61F-1FF03CB384CE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C0C5-4CB7-B61F-1FF03CB384CE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C0C5-4CB7-B61F-1FF03CB384CE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C0C5-4CB7-B61F-1FF03CB384CE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C0C5-4CB7-B61F-1FF03CB384CE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C0C5-4CB7-B61F-1FF03CB384CE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C0C5-4CB7-B61F-1FF03CB384C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0C5-4CB7-B61F-1FF03CB384C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0C5-4CB7-B61F-1FF03CB384C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0C5-4CB7-B61F-1FF03CB384C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0C5-4CB7-B61F-1FF03CB384C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0C5-4CB7-B61F-1FF03CB384C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0C5-4CB7-B61F-1FF03CB384CE}"/>
                </c:ext>
              </c:extLst>
            </c:dLbl>
            <c:dLbl>
              <c:idx val="6"/>
              <c:layout>
                <c:manualLayout>
                  <c:x val="0"/>
                  <c:y val="-2.02695822518899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0C5-4CB7-B61F-1FF03CB384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vetorAleatorio!$R$7:$R$13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vetorAleatorio!$S$7:$S$13</c:f>
              <c:numCache>
                <c:formatCode>_-* #,##0_-;\-* #,##0_-;_-* "-"??_-;_-@_-</c:formatCode>
                <c:ptCount val="7"/>
                <c:pt idx="0">
                  <c:v>1998</c:v>
                </c:pt>
                <c:pt idx="1">
                  <c:v>9998</c:v>
                </c:pt>
                <c:pt idx="2">
                  <c:v>19998</c:v>
                </c:pt>
                <c:pt idx="3">
                  <c:v>99998</c:v>
                </c:pt>
                <c:pt idx="4">
                  <c:v>199998</c:v>
                </c:pt>
                <c:pt idx="5">
                  <c:v>999998</c:v>
                </c:pt>
                <c:pt idx="6">
                  <c:v>1999998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5-4CB7-B61F-1FF03CB384CE}"/>
            </c:ext>
          </c:extLst>
        </c:ser>
        <c:ser>
          <c:idx val="1"/>
          <c:order val="1"/>
          <c:tx>
            <c:strRef>
              <c:f>vetorAleatorio!$T$5:$T$6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C0C5-4CB7-B61F-1FF03CB384CE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C0C5-4CB7-B61F-1FF03CB384CE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C0C5-4CB7-B61F-1FF03CB384CE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C0C5-4CB7-B61F-1FF03CB384CE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C0C5-4CB7-B61F-1FF03CB384CE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0C5-4CB7-B61F-1FF03CB384CE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C0C5-4CB7-B61F-1FF03CB384C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0C5-4CB7-B61F-1FF03CB384C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C5-4CB7-B61F-1FF03CB384C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0C5-4CB7-B61F-1FF03CB384C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0C5-4CB7-B61F-1FF03CB384C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0C5-4CB7-B61F-1FF03CB384C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0C5-4CB7-B61F-1FF03CB384CE}"/>
                </c:ext>
              </c:extLst>
            </c:dLbl>
            <c:dLbl>
              <c:idx val="6"/>
              <c:layout>
                <c:manualLayout>
                  <c:x val="-1.4955131271580537E-16"/>
                  <c:y val="-2.026958225188994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0C5-4CB7-B61F-1FF03CB384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vetorAleatorio!$R$7:$R$13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vetorAleatorio!$T$7:$T$13</c:f>
              <c:numCache>
                <c:formatCode>_-* #,##0_-;\-* #,##0_-;_-* "-"??_-;_-@_-</c:formatCode>
                <c:ptCount val="7"/>
                <c:pt idx="0">
                  <c:v>8712</c:v>
                </c:pt>
                <c:pt idx="1">
                  <c:v>55183</c:v>
                </c:pt>
                <c:pt idx="2">
                  <c:v>120458</c:v>
                </c:pt>
                <c:pt idx="3">
                  <c:v>718172</c:v>
                </c:pt>
                <c:pt idx="4">
                  <c:v>1536133</c:v>
                </c:pt>
                <c:pt idx="5">
                  <c:v>8835557</c:v>
                </c:pt>
                <c:pt idx="6">
                  <c:v>18670251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5-4CB7-B61F-1FF03CB384CE}"/>
            </c:ext>
          </c:extLst>
        </c:ser>
        <c:ser>
          <c:idx val="2"/>
          <c:order val="2"/>
          <c:tx>
            <c:strRef>
              <c:f>vetorAleatorio!$U$5:$U$6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C0C5-4CB7-B61F-1FF03CB384CE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C0C5-4CB7-B61F-1FF03CB384CE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C0C5-4CB7-B61F-1FF03CB384CE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C0C5-4CB7-B61F-1FF03CB384CE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C0C5-4CB7-B61F-1FF03CB384CE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C0C5-4CB7-B61F-1FF03CB384CE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C0C5-4CB7-B61F-1FF03CB384C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0C5-4CB7-B61F-1FF03CB384C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0C5-4CB7-B61F-1FF03CB384C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0C5-4CB7-B61F-1FF03CB384C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0C5-4CB7-B61F-1FF03CB384C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0C5-4CB7-B61F-1FF03CB384C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0C5-4CB7-B61F-1FF03CB384CE}"/>
                </c:ext>
              </c:extLst>
            </c:dLbl>
            <c:dLbl>
              <c:idx val="6"/>
              <c:layout>
                <c:manualLayout>
                  <c:x val="0"/>
                  <c:y val="-2.026958225188994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0C5-4CB7-B61F-1FF03CB384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vetorAleatorio!$R$7:$R$13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vetorAleatorio!$U$7:$U$13</c:f>
              <c:numCache>
                <c:formatCode>_-* #,##0_-;\-* #,##0_-;_-* "-"??_-;_-@_-</c:formatCode>
                <c:ptCount val="7"/>
                <c:pt idx="0">
                  <c:v>6822</c:v>
                </c:pt>
                <c:pt idx="1">
                  <c:v>37713</c:v>
                </c:pt>
                <c:pt idx="2">
                  <c:v>79656</c:v>
                </c:pt>
                <c:pt idx="3">
                  <c:v>451145</c:v>
                </c:pt>
                <c:pt idx="4">
                  <c:v>950272</c:v>
                </c:pt>
                <c:pt idx="5">
                  <c:v>5325687</c:v>
                </c:pt>
                <c:pt idx="6">
                  <c:v>11161850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5-4CB7-B61F-1FF03CB38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341471"/>
        <c:axId val="1776325631"/>
      </c:lineChart>
      <c:catAx>
        <c:axId val="1776341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Tamanho do Vetor</a:t>
                </a:r>
              </a:p>
            </c:rich>
          </c:tx>
          <c:layout>
            <c:manualLayout>
              <c:xMode val="edge"/>
              <c:yMode val="edge"/>
              <c:x val="0.42457845874190775"/>
              <c:y val="0.91403654206672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776325631"/>
        <c:crosses val="autoZero"/>
        <c:auto val="1"/>
        <c:lblAlgn val="ctr"/>
        <c:lblOffset val="100"/>
        <c:noMultiLvlLbl val="0"/>
      </c:catAx>
      <c:valAx>
        <c:axId val="1776325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Quantidade de Comparações</a:t>
                </a:r>
              </a:p>
            </c:rich>
          </c:tx>
          <c:layout>
            <c:manualLayout>
              <c:xMode val="edge"/>
              <c:yMode val="edge"/>
              <c:x val="1.0196798205363516E-2"/>
              <c:y val="0.23601231241459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77634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[dados_performance_v2.xlsx]vetorAleatorio!Tabela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pt-BR" sz="12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Qtd.</a:t>
            </a:r>
            <a:r>
              <a:rPr lang="pt-BR" sz="12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Movimentações  por Tamanho do Vetor e Algoritmo</a:t>
            </a:r>
            <a:endParaRPr lang="pt-BR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21700680272108841"/>
          <c:y val="1.6364935484141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184291898577764E-3"/>
              <c:y val="-3.68211048393176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9517881841534741E-3"/>
              <c:y val="-4.09123387103528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88306169521019"/>
          <c:y val="0.14176125363137274"/>
          <c:w val="0.79189914538690964"/>
          <c:h val="0.67657443242989013"/>
        </c:manualLayout>
      </c:layout>
      <c:lineChart>
        <c:grouping val="standard"/>
        <c:varyColors val="0"/>
        <c:ser>
          <c:idx val="0"/>
          <c:order val="0"/>
          <c:tx>
            <c:strRef>
              <c:f>vetorAleatorio!$AA$5:$AA$6</c:f>
              <c:strCache>
                <c:ptCount val="1"/>
                <c:pt idx="0">
                  <c:v>CountSort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A1AE-4784-AB02-0B12901C2C54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A1AE-4784-AB02-0B12901C2C54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A1AE-4784-AB02-0B12901C2C54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A1AE-4784-AB02-0B12901C2C54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A1AE-4784-AB02-0B12901C2C54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A1AE-4784-AB02-0B12901C2C54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A1AE-4784-AB02-0B12901C2C5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1AE-4784-AB02-0B12901C2C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1AE-4784-AB02-0B12901C2C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1AE-4784-AB02-0B12901C2C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1AE-4784-AB02-0B12901C2C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1AE-4784-AB02-0B12901C2C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1AE-4784-AB02-0B12901C2C54}"/>
                </c:ext>
              </c:extLst>
            </c:dLbl>
            <c:dLbl>
              <c:idx val="6"/>
              <c:layout>
                <c:manualLayout>
                  <c:x val="-3.9517881841534741E-3"/>
                  <c:y val="-4.091233871035288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1AE-4784-AB02-0B12901C2C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vetorAleatorio!$Z$7:$Z$13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vetorAleatorio!$AA$7:$AA$13</c:f>
              <c:numCache>
                <c:formatCode>_-* #,##0_-;\-* #,##0_-;_-* "-"??_-;_-@_-</c:formatCode>
                <c:ptCount val="7"/>
                <c:pt idx="0">
                  <c:v>4000</c:v>
                </c:pt>
                <c:pt idx="1">
                  <c:v>16000</c:v>
                </c:pt>
                <c:pt idx="2">
                  <c:v>31000</c:v>
                </c:pt>
                <c:pt idx="3">
                  <c:v>151000</c:v>
                </c:pt>
                <c:pt idx="4">
                  <c:v>301000</c:v>
                </c:pt>
                <c:pt idx="5">
                  <c:v>1501000</c:v>
                </c:pt>
                <c:pt idx="6">
                  <c:v>3001000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E-4784-AB02-0B12901C2C54}"/>
            </c:ext>
          </c:extLst>
        </c:ser>
        <c:ser>
          <c:idx val="1"/>
          <c:order val="1"/>
          <c:tx>
            <c:strRef>
              <c:f>vetorAleatorio!$AB$5:$AB$6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A1AE-4784-AB02-0B12901C2C54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A1AE-4784-AB02-0B12901C2C54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A1AE-4784-AB02-0B12901C2C54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A1AE-4784-AB02-0B12901C2C54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A1AE-4784-AB02-0B12901C2C54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A1AE-4784-AB02-0B12901C2C54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A1AE-4784-AB02-0B12901C2C5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AE-4784-AB02-0B12901C2C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AE-4784-AB02-0B12901C2C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AE-4784-AB02-0B12901C2C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AE-4784-AB02-0B12901C2C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AE-4784-AB02-0B12901C2C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AE-4784-AB02-0B12901C2C54}"/>
                </c:ext>
              </c:extLst>
            </c:dLbl>
            <c:dLbl>
              <c:idx val="6"/>
              <c:layout>
                <c:manualLayout>
                  <c:x val="-6.184291898577764E-3"/>
                  <c:y val="-3.68211048393176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1AE-4784-AB02-0B12901C2C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vetorAleatorio!$Z$7:$Z$13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vetorAleatorio!$AB$7:$AB$13</c:f>
              <c:numCache>
                <c:formatCode>_-* #,##0_-;\-* #,##0_-;_-* "-"??_-;_-@_-</c:formatCode>
                <c:ptCount val="7"/>
                <c:pt idx="0">
                  <c:v>19952</c:v>
                </c:pt>
                <c:pt idx="1">
                  <c:v>123616</c:v>
                </c:pt>
                <c:pt idx="2">
                  <c:v>267232</c:v>
                </c:pt>
                <c:pt idx="3">
                  <c:v>1568928</c:v>
                </c:pt>
                <c:pt idx="4">
                  <c:v>3337856</c:v>
                </c:pt>
                <c:pt idx="5">
                  <c:v>18951424</c:v>
                </c:pt>
                <c:pt idx="6">
                  <c:v>39902848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AE-4784-AB02-0B12901C2C54}"/>
            </c:ext>
          </c:extLst>
        </c:ser>
        <c:ser>
          <c:idx val="2"/>
          <c:order val="2"/>
          <c:tx>
            <c:strRef>
              <c:f>vetorAleatorio!$AC$5:$AC$6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A1AE-4784-AB02-0B12901C2C54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A1AE-4784-AB02-0B12901C2C54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A1AE-4784-AB02-0B12901C2C54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A1AE-4784-AB02-0B12901C2C54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A1AE-4784-AB02-0B12901C2C54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A1AE-4784-AB02-0B12901C2C5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AE-4784-AB02-0B12901C2C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AE-4784-AB02-0B12901C2C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1AE-4784-AB02-0B12901C2C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1AE-4784-AB02-0B12901C2C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1AE-4784-AB02-0B12901C2C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1AE-4784-AB02-0B12901C2C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vetorAleatorio!$Z$7:$Z$13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vetorAleatorio!$AC$7:$AC$13</c:f>
              <c:numCache>
                <c:formatCode>_-* #,##0_-;\-* #,##0_-;_-* "-"??_-;_-@_-</c:formatCode>
                <c:ptCount val="7"/>
                <c:pt idx="0">
                  <c:v>7648</c:v>
                </c:pt>
                <c:pt idx="1">
                  <c:v>45431</c:v>
                </c:pt>
                <c:pt idx="2">
                  <c:v>99317</c:v>
                </c:pt>
                <c:pt idx="3">
                  <c:v>602294</c:v>
                </c:pt>
                <c:pt idx="4">
                  <c:v>1300548</c:v>
                </c:pt>
                <c:pt idx="5">
                  <c:v>7651378</c:v>
                </c:pt>
                <c:pt idx="6">
                  <c:v>16323704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AE-4784-AB02-0B12901C2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708079"/>
        <c:axId val="1296708559"/>
      </c:lineChart>
      <c:catAx>
        <c:axId val="129670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Tamanho do Vetor</a:t>
                </a:r>
              </a:p>
            </c:rich>
          </c:tx>
          <c:layout>
            <c:manualLayout>
              <c:xMode val="edge"/>
              <c:yMode val="edge"/>
              <c:x val="0.40910016118115106"/>
              <c:y val="0.91324522469249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296708559"/>
        <c:crosses val="autoZero"/>
        <c:auto val="1"/>
        <c:lblAlgn val="ctr"/>
        <c:lblOffset val="100"/>
        <c:noMultiLvlLbl val="0"/>
      </c:catAx>
      <c:valAx>
        <c:axId val="12967085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Quantidade de Moviimentações</a:t>
                </a:r>
              </a:p>
            </c:rich>
          </c:tx>
          <c:layout>
            <c:manualLayout>
              <c:xMode val="edge"/>
              <c:yMode val="edge"/>
              <c:x val="6.1842918985776131E-3"/>
              <c:y val="0.2145681428826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29670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[dados_performance_v2.xlsx]vetorOrdenadoCrescente!Tabela dinâmica4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Tempo Médio</a:t>
            </a:r>
            <a:r>
              <a:rPr lang="pt-BR" sz="12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(ms) por Tamanho do Vetor e Algoritmo</a:t>
            </a:r>
            <a:endParaRPr lang="pt-BR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5699518112763711E-16"/>
              <c:y val="-2.165204784045543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fld id="{1474D899-1E7B-451F-8008-4D673A15F69A}" type="SERIESNAME">
                  <a:rPr lang="en-US"/>
                  <a:pPr>
                    <a:defRPr>
                      <a:solidFill>
                        <a:schemeClr val="accent3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t>[NOME DA SÉRIE]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fld id="{26FA2D59-C3D2-4CED-9991-DDCA931F4C8F}" type="SERIESNAME">
                  <a:rPr lang="en-US"/>
                  <a:pPr>
                    <a:defRPr>
                      <a:solidFill>
                        <a:schemeClr val="accent4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t>[NOME DA SÉRIE]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381216483471613E-3"/>
              <c:y val="-1.299122870427342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fld id="{4946CAF9-6794-4BFB-80DD-9684B46AC39B}" type="SERIESNAME">
                  <a:rPr lang="en-US"/>
                  <a:pPr>
                    <a:defRPr>
                      <a:solidFill>
                        <a:schemeClr val="accent1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t>[NOME DA SÉRIE]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502352859771379E-2"/>
          <c:y val="0.16061489088049843"/>
          <c:w val="0.82226804075300042"/>
          <c:h val="0.64744703602218812"/>
        </c:manualLayout>
      </c:layout>
      <c:lineChart>
        <c:grouping val="standard"/>
        <c:varyColors val="0"/>
        <c:ser>
          <c:idx val="0"/>
          <c:order val="0"/>
          <c:tx>
            <c:strRef>
              <c:f>vetorOrdenadoCrescente!$K$4:$K$5</c:f>
              <c:strCache>
                <c:ptCount val="1"/>
                <c:pt idx="0">
                  <c:v>CountSort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1DB7-4427-90AE-54B03058B2E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1DB7-4427-90AE-54B03058B2E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1DB7-4427-90AE-54B03058B2E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1DB7-4427-90AE-54B03058B2E0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1DB7-4427-90AE-54B03058B2E0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1DB7-4427-90AE-54B03058B2E0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1DB7-4427-90AE-54B03058B2E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DB7-4427-90AE-54B03058B2E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DB7-4427-90AE-54B03058B2E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DB7-4427-90AE-54B03058B2E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DB7-4427-90AE-54B03058B2E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DB7-4427-90AE-54B03058B2E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DB7-4427-90AE-54B03058B2E0}"/>
                </c:ext>
              </c:extLst>
            </c:dLbl>
            <c:dLbl>
              <c:idx val="6"/>
              <c:layout>
                <c:manualLayout>
                  <c:x val="-2.1381216483471613E-3"/>
                  <c:y val="-1.2991228704273421E-2"/>
                </c:manualLayout>
              </c:layout>
              <c:tx>
                <c:rich>
                  <a:bodyPr/>
                  <a:lstStyle/>
                  <a:p>
                    <a:fld id="{4946CAF9-6794-4BFB-80DD-9684B46AC39B}" type="SERIESNAME">
                      <a:rPr lang="en-US"/>
                      <a:pPr/>
                      <a:t>[NOME DA SÉRIE]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1DB7-4427-90AE-54B03058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vetorOrdenadoCrescente!$J$6:$J$12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vetorOrdenadoCrescente!$K$6:$K$12</c:f>
              <c:numCache>
                <c:formatCode>0.0000</c:formatCode>
                <c:ptCount val="7"/>
                <c:pt idx="0">
                  <c:v>0.161633</c:v>
                </c:pt>
                <c:pt idx="1">
                  <c:v>0.54673300000000002</c:v>
                </c:pt>
                <c:pt idx="2">
                  <c:v>0.50739999999999996</c:v>
                </c:pt>
                <c:pt idx="3">
                  <c:v>0.46993299999999999</c:v>
                </c:pt>
                <c:pt idx="4">
                  <c:v>0.54666599999999999</c:v>
                </c:pt>
                <c:pt idx="5">
                  <c:v>4.2848660000000001</c:v>
                </c:pt>
                <c:pt idx="6">
                  <c:v>6.8485329999999998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7-4427-90AE-54B03058B2E0}"/>
            </c:ext>
          </c:extLst>
        </c:ser>
        <c:ser>
          <c:idx val="1"/>
          <c:order val="1"/>
          <c:tx>
            <c:strRef>
              <c:f>vetorOrdenadoCrescente!$L$4:$L$5</c:f>
              <c:strCache>
                <c:ptCount val="1"/>
                <c:pt idx="0">
                  <c:v>InsertionSort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1DB7-4427-90AE-54B03058B2E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1DB7-4427-90AE-54B03058B2E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1DB7-4427-90AE-54B03058B2E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1DB7-4427-90AE-54B03058B2E0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1DB7-4427-90AE-54B03058B2E0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1DB7-4427-90AE-54B03058B2E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DB7-4427-90AE-54B03058B2E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DB7-4427-90AE-54B03058B2E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DB7-4427-90AE-54B03058B2E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DB7-4427-90AE-54B03058B2E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DB7-4427-90AE-54B03058B2E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DB7-4427-90AE-54B03058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vetorOrdenadoCrescente!$J$6:$J$12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vetorOrdenadoCrescente!$L$6:$L$12</c:f>
              <c:numCache>
                <c:formatCode>0.0000</c:formatCode>
                <c:ptCount val="7"/>
                <c:pt idx="0">
                  <c:v>5.74E-2</c:v>
                </c:pt>
                <c:pt idx="1">
                  <c:v>0.24540000000000001</c:v>
                </c:pt>
                <c:pt idx="2">
                  <c:v>0.50533300000000003</c:v>
                </c:pt>
                <c:pt idx="3">
                  <c:v>0.59150000000000003</c:v>
                </c:pt>
                <c:pt idx="4">
                  <c:v>4.5266000000000001E-2</c:v>
                </c:pt>
                <c:pt idx="5">
                  <c:v>0.30399999999999999</c:v>
                </c:pt>
                <c:pt idx="6">
                  <c:v>0.42516599999999999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7-4427-90AE-54B03058B2E0}"/>
            </c:ext>
          </c:extLst>
        </c:ser>
        <c:ser>
          <c:idx val="2"/>
          <c:order val="2"/>
          <c:tx>
            <c:strRef>
              <c:f>vetorOrdenadoCrescente!$M$4:$M$5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1DB7-4427-90AE-54B03058B2E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1DB7-4427-90AE-54B03058B2E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1DB7-4427-90AE-54B03058B2E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1DB7-4427-90AE-54B03058B2E0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1DB7-4427-90AE-54B03058B2E0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1DB7-4427-90AE-54B03058B2E0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1DB7-4427-90AE-54B03058B2E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B7-4427-90AE-54B03058B2E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B7-4427-90AE-54B03058B2E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B7-4427-90AE-54B03058B2E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B7-4427-90AE-54B03058B2E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DB7-4427-90AE-54B03058B2E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DB7-4427-90AE-54B03058B2E0}"/>
                </c:ext>
              </c:extLst>
            </c:dLbl>
            <c:dLbl>
              <c:idx val="6"/>
              <c:layout>
                <c:manualLayout>
                  <c:x val="-1.5699518112763711E-16"/>
                  <c:y val="-2.1652047840455435E-2"/>
                </c:manualLayout>
              </c:layout>
              <c:tx>
                <c:rich>
                  <a:bodyPr/>
                  <a:lstStyle/>
                  <a:p>
                    <a:fld id="{1474D899-1E7B-451F-8008-4D673A15F69A}" type="SERIESNAME">
                      <a:rPr lang="en-US"/>
                      <a:pPr/>
                      <a:t>[NOME DA SÉRIE]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DB7-4427-90AE-54B03058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vetorOrdenadoCrescente!$J$6:$J$12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vetorOrdenadoCrescente!$M$6:$M$12</c:f>
              <c:numCache>
                <c:formatCode>0.0000</c:formatCode>
                <c:ptCount val="7"/>
                <c:pt idx="0">
                  <c:v>0.42643300000000001</c:v>
                </c:pt>
                <c:pt idx="1">
                  <c:v>0.254133</c:v>
                </c:pt>
                <c:pt idx="2">
                  <c:v>0.553566</c:v>
                </c:pt>
                <c:pt idx="3">
                  <c:v>4.3993330000000004</c:v>
                </c:pt>
                <c:pt idx="4">
                  <c:v>4.7490329999999998</c:v>
                </c:pt>
                <c:pt idx="5">
                  <c:v>30.029333000000001</c:v>
                </c:pt>
                <c:pt idx="6">
                  <c:v>61.244833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7-4427-90AE-54B03058B2E0}"/>
            </c:ext>
          </c:extLst>
        </c:ser>
        <c:ser>
          <c:idx val="3"/>
          <c:order val="3"/>
          <c:tx>
            <c:strRef>
              <c:f>vetorOrdenadoCrescente!$N$4:$N$5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1DB7-4427-90AE-54B03058B2E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1DB7-4427-90AE-54B03058B2E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1DB7-4427-90AE-54B03058B2E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1DB7-4427-90AE-54B03058B2E0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1DB7-4427-90AE-54B03058B2E0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1DB7-4427-90AE-54B03058B2E0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1DB7-4427-90AE-54B03058B2E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DB7-4427-90AE-54B03058B2E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DB7-4427-90AE-54B03058B2E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DB7-4427-90AE-54B03058B2E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DB7-4427-90AE-54B03058B2E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DB7-4427-90AE-54B03058B2E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DB7-4427-90AE-54B03058B2E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6FA2D59-C3D2-4CED-9991-DDCA931F4C8F}" type="SERIESNAME">
                      <a:rPr lang="en-US"/>
                      <a:pPr/>
                      <a:t>[NOME DA SÉRIE]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1DB7-4427-90AE-54B03058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vetorOrdenadoCrescente!$J$6:$J$12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vetorOrdenadoCrescente!$N$6:$N$12</c:f>
              <c:numCache>
                <c:formatCode>0.0000</c:formatCode>
                <c:ptCount val="7"/>
                <c:pt idx="0">
                  <c:v>9.7266000000000005E-2</c:v>
                </c:pt>
                <c:pt idx="1">
                  <c:v>0.2029</c:v>
                </c:pt>
                <c:pt idx="2">
                  <c:v>0.36323299999999997</c:v>
                </c:pt>
                <c:pt idx="3">
                  <c:v>1.710466</c:v>
                </c:pt>
                <c:pt idx="4">
                  <c:v>3.4878330000000002</c:v>
                </c:pt>
                <c:pt idx="5">
                  <c:v>26.627433</c:v>
                </c:pt>
                <c:pt idx="6">
                  <c:v>49.8489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7-4427-90AE-54B03058B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717679"/>
        <c:axId val="1296720079"/>
      </c:lineChart>
      <c:catAx>
        <c:axId val="129671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Tamanho</a:t>
                </a:r>
                <a:r>
                  <a:rPr lang="pt-BR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do Vetor</a:t>
                </a:r>
                <a:endParaRPr lang="pt-BR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926802529051986"/>
              <c:y val="0.912503904188153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296720079"/>
        <c:crosses val="autoZero"/>
        <c:auto val="1"/>
        <c:lblAlgn val="ctr"/>
        <c:lblOffset val="100"/>
        <c:noMultiLvlLbl val="0"/>
      </c:catAx>
      <c:valAx>
        <c:axId val="12967200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Tempo Médio</a:t>
                </a:r>
                <a:r>
                  <a:rPr lang="pt-BR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(ms)</a:t>
                </a:r>
                <a:endParaRPr lang="pt-BR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21484446604557E-3"/>
              <c:y val="0.3099959491916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29671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[dados_performance_v2.xlsx]vetorOrdenadoCrescente!Tabela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Qtd.</a:t>
            </a:r>
            <a:r>
              <a:rPr lang="pt-BR" sz="12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Comparações por Tamanho do Vetor e Algoritmo</a:t>
            </a:r>
            <a:endParaRPr lang="pt-BR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20860603601430044"/>
          <c:y val="2.4161880796314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701518627772317E-3"/>
              <c:y val="-3.229386912337402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fld id="{1DDD68E1-7834-4A38-ABA7-8BBE0A1C86A0}" type="SERIESNAME">
                  <a:rPr lang="en-US">
                    <a:solidFill>
                      <a:schemeClr val="accent3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pPr>
                    <a:defRPr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t>[NOME DA SÉRIE]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1.211020092126525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fld id="{7AD143AB-A1FD-4F5E-BAE3-BB0F4AAF57BC}" type="SERIESNAME">
                  <a:rPr lang="en-US">
                    <a:solidFill>
                      <a:schemeClr val="accent4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pPr>
                    <a:defRPr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t>[NOME DA SÉRIE]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1.614693456168701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fld id="{5939E2DC-E8A5-40AF-8111-8F937721D51C}" type="SERIESNAME">
                  <a:rPr lang="en-US">
                    <a:solidFill>
                      <a:schemeClr val="accent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pPr>
                    <a:defRPr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t>[NOME DA SÉRIE]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fld id="{CD339358-92A9-45F1-BBD2-8947464B9AE1}" type="SERIESNAME">
                  <a:rPr lang="en-US"/>
                  <a:pPr>
                    <a:defRPr>
                      <a:solidFill>
                        <a:schemeClr val="accent2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t>[NOME DA SÉRIE]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058002876198823"/>
          <c:y val="0.1636968390698709"/>
          <c:w val="0.72707460193212226"/>
          <c:h val="0.68165390293646122"/>
        </c:manualLayout>
      </c:layout>
      <c:lineChart>
        <c:grouping val="standard"/>
        <c:varyColors val="0"/>
        <c:ser>
          <c:idx val="0"/>
          <c:order val="0"/>
          <c:tx>
            <c:strRef>
              <c:f>vetorOrdenadoCrescente!$S$4:$S$5</c:f>
              <c:strCache>
                <c:ptCount val="1"/>
                <c:pt idx="0">
                  <c:v>CountSort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A67-491F-8609-53C9D3C9579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1A67-491F-8609-53C9D3C9579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A67-491F-8609-53C9D3C9579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1A67-491F-8609-53C9D3C9579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A67-491F-8609-53C9D3C9579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1A67-491F-8609-53C9D3C9579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1A67-491F-8609-53C9D3C9579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A67-491F-8609-53C9D3C957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A67-491F-8609-53C9D3C957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A67-491F-8609-53C9D3C957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A67-491F-8609-53C9D3C957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A67-491F-8609-53C9D3C957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A67-491F-8609-53C9D3C9579C}"/>
                </c:ext>
              </c:extLst>
            </c:dLbl>
            <c:dLbl>
              <c:idx val="6"/>
              <c:layout>
                <c:manualLayout>
                  <c:x val="0"/>
                  <c:y val="-1.6146934561687011E-2"/>
                </c:manualLayout>
              </c:layout>
              <c:tx>
                <c:rich>
                  <a:bodyPr/>
                  <a:lstStyle/>
                  <a:p>
                    <a:fld id="{5939E2DC-E8A5-40AF-8111-8F937721D51C}" type="SERIESNAME">
                      <a:rPr lang="en-US">
                        <a:solidFill>
                          <a:schemeClr val="accent1"/>
                        </a:solidFill>
                        <a:latin typeface="Calibri" panose="020F0502020204030204" pitchFamily="34" charset="0"/>
                        <a:ea typeface="Calibri" panose="020F0502020204030204" pitchFamily="34" charset="0"/>
                        <a:cs typeface="Calibri" panose="020F0502020204030204" pitchFamily="34" charset="0"/>
                      </a:rPr>
                      <a:pPr/>
                      <a:t>[NOME DA SÉRIE]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9-1A67-491F-8609-53C9D3C95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vetorOrdenadoCrescente!$R$6:$R$12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vetorOrdenadoCrescente!$S$6:$S$12</c:f>
              <c:numCache>
                <c:formatCode>_-* #,##0_-;\-* #,##0_-;_-* "-"??_-;_-@_-</c:formatCode>
                <c:ptCount val="7"/>
                <c:pt idx="0">
                  <c:v>1998</c:v>
                </c:pt>
                <c:pt idx="1">
                  <c:v>9998</c:v>
                </c:pt>
                <c:pt idx="2">
                  <c:v>19998</c:v>
                </c:pt>
                <c:pt idx="3">
                  <c:v>99998</c:v>
                </c:pt>
                <c:pt idx="4">
                  <c:v>199998</c:v>
                </c:pt>
                <c:pt idx="5">
                  <c:v>999998</c:v>
                </c:pt>
                <c:pt idx="6">
                  <c:v>1999998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7-491F-8609-53C9D3C9579C}"/>
            </c:ext>
          </c:extLst>
        </c:ser>
        <c:ser>
          <c:idx val="1"/>
          <c:order val="1"/>
          <c:tx>
            <c:strRef>
              <c:f>vetorOrdenadoCrescente!$T$4:$T$5</c:f>
              <c:strCache>
                <c:ptCount val="1"/>
                <c:pt idx="0">
                  <c:v>InsertionSort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A67-491F-8609-53C9D3C9579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1A67-491F-8609-53C9D3C9579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1A67-491F-8609-53C9D3C9579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1A67-491F-8609-53C9D3C9579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A67-491F-8609-53C9D3C9579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1A67-491F-8609-53C9D3C9579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1A67-491F-8609-53C9D3C9579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A67-491F-8609-53C9D3C957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A67-491F-8609-53C9D3C957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A67-491F-8609-53C9D3C957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A67-491F-8609-53C9D3C957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A67-491F-8609-53C9D3C957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A67-491F-8609-53C9D3C9579C}"/>
                </c:ext>
              </c:extLst>
            </c:dLbl>
            <c:dLbl>
              <c:idx val="6"/>
              <c:layout>
                <c:manualLayout>
                  <c:x val="0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2"/>
                        </a:solidFill>
                        <a:latin typeface="Calibri" panose="020F0502020204030204" pitchFamily="34" charset="0"/>
                        <a:ea typeface="Calibri" panose="020F0502020204030204" pitchFamily="34" charset="0"/>
                        <a:cs typeface="Calibri" panose="020F0502020204030204" pitchFamily="34" charset="0"/>
                      </a:defRPr>
                    </a:pPr>
                    <a:fld id="{CD339358-92A9-45F1-BBD2-8947464B9AE1}" type="SERIESNAME">
                      <a:rPr lang="en-US"/>
                      <a:pPr>
                        <a:defRPr>
                          <a:solidFill>
                            <a:schemeClr val="accent2"/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t>[NOME DA SÉRIE]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pt-B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0-1A67-491F-8609-53C9D3C95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vetorOrdenadoCrescente!$R$6:$R$12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vetorOrdenadoCrescente!$T$6:$T$12</c:f>
              <c:numCache>
                <c:formatCode>_-* #,##0_-;\-* #,##0_-;_-* "-"??_-;_-@_-</c:formatCode>
                <c:ptCount val="7"/>
                <c:pt idx="0">
                  <c:v>999</c:v>
                </c:pt>
                <c:pt idx="1">
                  <c:v>4999</c:v>
                </c:pt>
                <c:pt idx="2">
                  <c:v>9999</c:v>
                </c:pt>
                <c:pt idx="3">
                  <c:v>49999</c:v>
                </c:pt>
                <c:pt idx="4">
                  <c:v>99999</c:v>
                </c:pt>
                <c:pt idx="5">
                  <c:v>499999</c:v>
                </c:pt>
                <c:pt idx="6">
                  <c:v>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67-491F-8609-53C9D3C9579C}"/>
            </c:ext>
          </c:extLst>
        </c:ser>
        <c:ser>
          <c:idx val="2"/>
          <c:order val="2"/>
          <c:tx>
            <c:strRef>
              <c:f>vetorOrdenadoCrescente!$U$4:$U$5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67-491F-8609-53C9D3C9579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A67-491F-8609-53C9D3C9579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67-491F-8609-53C9D3C9579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A67-491F-8609-53C9D3C9579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A67-491F-8609-53C9D3C9579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A67-491F-8609-53C9D3C9579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A67-491F-8609-53C9D3C9579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67-491F-8609-53C9D3C957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67-491F-8609-53C9D3C957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67-491F-8609-53C9D3C957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67-491F-8609-53C9D3C957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67-491F-8609-53C9D3C957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A67-491F-8609-53C9D3C9579C}"/>
                </c:ext>
              </c:extLst>
            </c:dLbl>
            <c:dLbl>
              <c:idx val="6"/>
              <c:layout>
                <c:manualLayout>
                  <c:x val="-4.3701518627772317E-3"/>
                  <c:y val="-3.2293869123374022E-2"/>
                </c:manualLayout>
              </c:layout>
              <c:tx>
                <c:rich>
                  <a:bodyPr/>
                  <a:lstStyle/>
                  <a:p>
                    <a:fld id="{1DDD68E1-7834-4A38-ABA7-8BBE0A1C86A0}" type="SERIESNAME">
                      <a:rPr lang="en-US">
                        <a:solidFill>
                          <a:schemeClr val="accent3"/>
                        </a:solidFill>
                        <a:latin typeface="Calibri" panose="020F0502020204030204" pitchFamily="34" charset="0"/>
                        <a:ea typeface="Calibri" panose="020F0502020204030204" pitchFamily="34" charset="0"/>
                        <a:cs typeface="Calibri" panose="020F0502020204030204" pitchFamily="34" charset="0"/>
                      </a:rPr>
                      <a:pPr/>
                      <a:t>[NOME DA SÉRIE]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1A67-491F-8609-53C9D3C95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vetorOrdenadoCrescente!$R$6:$R$12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vetorOrdenadoCrescente!$U$6:$U$12</c:f>
              <c:numCache>
                <c:formatCode>_-* #,##0_-;\-* #,##0_-;_-* "-"??_-;_-@_-</c:formatCode>
                <c:ptCount val="7"/>
                <c:pt idx="0">
                  <c:v>5044</c:v>
                </c:pt>
                <c:pt idx="1">
                  <c:v>32004</c:v>
                </c:pt>
                <c:pt idx="2">
                  <c:v>69008</c:v>
                </c:pt>
                <c:pt idx="3">
                  <c:v>401952</c:v>
                </c:pt>
                <c:pt idx="4">
                  <c:v>853904</c:v>
                </c:pt>
                <c:pt idx="5">
                  <c:v>4783216</c:v>
                </c:pt>
                <c:pt idx="6">
                  <c:v>10066432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67-491F-8609-53C9D3C9579C}"/>
            </c:ext>
          </c:extLst>
        </c:ser>
        <c:ser>
          <c:idx val="3"/>
          <c:order val="3"/>
          <c:tx>
            <c:strRef>
              <c:f>vetorOrdenadoCrescente!$V$4:$V$5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A67-491F-8609-53C9D3C9579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A67-491F-8609-53C9D3C9579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A67-491F-8609-53C9D3C9579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1A67-491F-8609-53C9D3C9579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A67-491F-8609-53C9D3C9579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A67-491F-8609-53C9D3C9579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A67-491F-8609-53C9D3C9579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A67-491F-8609-53C9D3C957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A67-491F-8609-53C9D3C957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A67-491F-8609-53C9D3C957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A67-491F-8609-53C9D3C957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A67-491F-8609-53C9D3C957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A67-491F-8609-53C9D3C9579C}"/>
                </c:ext>
              </c:extLst>
            </c:dLbl>
            <c:dLbl>
              <c:idx val="6"/>
              <c:layout>
                <c:manualLayout>
                  <c:x val="0"/>
                  <c:y val="-1.2110200921265258E-2"/>
                </c:manualLayout>
              </c:layout>
              <c:tx>
                <c:rich>
                  <a:bodyPr/>
                  <a:lstStyle/>
                  <a:p>
                    <a:fld id="{7AD143AB-A1FD-4F5E-BAE3-BB0F4AAF57BC}" type="SERIESNAME">
                      <a:rPr lang="en-US">
                        <a:solidFill>
                          <a:schemeClr val="accent4"/>
                        </a:solidFill>
                        <a:latin typeface="Calibri" panose="020F0502020204030204" pitchFamily="34" charset="0"/>
                        <a:ea typeface="Calibri" panose="020F0502020204030204" pitchFamily="34" charset="0"/>
                        <a:cs typeface="Calibri" panose="020F0502020204030204" pitchFamily="34" charset="0"/>
                      </a:rPr>
                      <a:pPr/>
                      <a:t>[NOME DA SÉRIE]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1A67-491F-8609-53C9D3C95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vetorOrdenadoCrescente!$R$6:$R$12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vetorOrdenadoCrescente!$V$6:$V$12</c:f>
              <c:numCache>
                <c:formatCode>_-* #,##0_-;\-* #,##0_-;_-* "-"??_-;_-@_-</c:formatCode>
                <c:ptCount val="7"/>
                <c:pt idx="0">
                  <c:v>5099</c:v>
                </c:pt>
                <c:pt idx="1">
                  <c:v>27408</c:v>
                </c:pt>
                <c:pt idx="2">
                  <c:v>57865</c:v>
                </c:pt>
                <c:pt idx="3">
                  <c:v>337169</c:v>
                </c:pt>
                <c:pt idx="4">
                  <c:v>720219</c:v>
                </c:pt>
                <c:pt idx="5">
                  <c:v>4210650</c:v>
                </c:pt>
                <c:pt idx="6">
                  <c:v>8928606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67-491F-8609-53C9D3C95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748399"/>
        <c:axId val="1296749359"/>
      </c:lineChart>
      <c:catAx>
        <c:axId val="1296748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Tamanho do Vetor</a:t>
                </a:r>
              </a:p>
            </c:rich>
          </c:tx>
          <c:layout>
            <c:manualLayout>
              <c:xMode val="edge"/>
              <c:yMode val="edge"/>
              <c:x val="0.45601700553447533"/>
              <c:y val="0.926688668141323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296749359"/>
        <c:crosses val="autoZero"/>
        <c:auto val="1"/>
        <c:lblAlgn val="ctr"/>
        <c:lblOffset val="100"/>
        <c:noMultiLvlLbl val="0"/>
      </c:catAx>
      <c:valAx>
        <c:axId val="12967493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Qtd. de Comparações</a:t>
                </a:r>
              </a:p>
            </c:rich>
          </c:tx>
          <c:layout>
            <c:manualLayout>
              <c:xMode val="edge"/>
              <c:yMode val="edge"/>
              <c:x val="6.9637883008356544E-3"/>
              <c:y val="0.29324818120015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29674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[dados_performance_v2.xlsx]vetorOrdenadoCrescente!Tabela dinâmica6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Qtd.</a:t>
            </a:r>
            <a:r>
              <a:rPr lang="pt-BR" sz="12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Movimentações por Tamanho do Vetor e Algoritmo</a:t>
            </a:r>
            <a:endParaRPr lang="pt-BR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6.3461827710632052E-3"/>
              <c:y val="-1.75843493973699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5995704563040014E-3"/>
              <c:y val="-2.19804336064560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4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1998434608249805E-3"/>
              <c:y val="-2.1945740333423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30788514042137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872417907295428"/>
          <c:y val="0.15232440489274068"/>
          <c:w val="0.74835686334669693"/>
          <c:h val="0.67036474043457861"/>
        </c:manualLayout>
      </c:layout>
      <c:lineChart>
        <c:grouping val="standard"/>
        <c:varyColors val="0"/>
        <c:ser>
          <c:idx val="0"/>
          <c:order val="0"/>
          <c:tx>
            <c:strRef>
              <c:f>vetorOrdenadoCrescente!$AA$4:$AA$5</c:f>
              <c:strCache>
                <c:ptCount val="1"/>
                <c:pt idx="0">
                  <c:v>CountSort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7A4-4DEB-A2F5-AF9F2B5688F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37A4-4DEB-A2F5-AF9F2B5688F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7A4-4DEB-A2F5-AF9F2B5688F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37A4-4DEB-A2F5-AF9F2B5688F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7A4-4DEB-A2F5-AF9F2B5688F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37A4-4DEB-A2F5-AF9F2B5688F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7A4-4DEB-A2F5-AF9F2B5688F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7A4-4DEB-A2F5-AF9F2B5688F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7A4-4DEB-A2F5-AF9F2B5688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7A4-4DEB-A2F5-AF9F2B5688F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7A4-4DEB-A2F5-AF9F2B5688F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7A4-4DEB-A2F5-AF9F2B5688F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7A4-4DEB-A2F5-AF9F2B5688FC}"/>
                </c:ext>
              </c:extLst>
            </c:dLbl>
            <c:dLbl>
              <c:idx val="6"/>
              <c:layout>
                <c:manualLayout>
                  <c:x val="-2.1998434608249805E-3"/>
                  <c:y val="-2.19457403334239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7A4-4DEB-A2F5-AF9F2B5688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vetorOrdenadoCrescente!$Z$6:$Z$12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vetorOrdenadoCrescente!$AA$6:$AA$12</c:f>
              <c:numCache>
                <c:formatCode>_-* #,##0_-;\-* #,##0_-;_-* "-"??_-;_-@_-</c:formatCode>
                <c:ptCount val="7"/>
                <c:pt idx="0">
                  <c:v>3999</c:v>
                </c:pt>
                <c:pt idx="1">
                  <c:v>16000</c:v>
                </c:pt>
                <c:pt idx="2">
                  <c:v>31000</c:v>
                </c:pt>
                <c:pt idx="3">
                  <c:v>151000</c:v>
                </c:pt>
                <c:pt idx="4">
                  <c:v>301000</c:v>
                </c:pt>
                <c:pt idx="5">
                  <c:v>1501000</c:v>
                </c:pt>
                <c:pt idx="6">
                  <c:v>3001000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DEB-A2F5-AF9F2B5688FC}"/>
            </c:ext>
          </c:extLst>
        </c:ser>
        <c:ser>
          <c:idx val="1"/>
          <c:order val="1"/>
          <c:tx>
            <c:strRef>
              <c:f>vetorOrdenadoCrescente!$AB$4:$AB$5</c:f>
              <c:strCache>
                <c:ptCount val="1"/>
                <c:pt idx="0">
                  <c:v>InsertionSort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37A4-4DEB-A2F5-AF9F2B5688F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7A4-4DEB-A2F5-AF9F2B5688F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37A4-4DEB-A2F5-AF9F2B5688F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7A4-4DEB-A2F5-AF9F2B5688F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37A4-4DEB-A2F5-AF9F2B5688F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7A4-4DEB-A2F5-AF9F2B5688F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37A4-4DEB-A2F5-AF9F2B5688F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7A4-4DEB-A2F5-AF9F2B5688F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7A4-4DEB-A2F5-AF9F2B5688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7A4-4DEB-A2F5-AF9F2B5688F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7A4-4DEB-A2F5-AF9F2B5688F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7A4-4DEB-A2F5-AF9F2B5688F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7A4-4DEB-A2F5-AF9F2B5688FC}"/>
                </c:ext>
              </c:extLst>
            </c:dLbl>
            <c:dLbl>
              <c:idx val="6"/>
              <c:layout>
                <c:manualLayout>
                  <c:x val="-4.2307885140421371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7A4-4DEB-A2F5-AF9F2B5688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vetorOrdenadoCrescente!$Z$6:$Z$12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vetorOrdenadoCrescente!$AB$6:$AB$12</c:f>
              <c:numCache>
                <c:formatCode>_-* #,##0_-;\-* #,##0_-;_-* "-"??_-;_-@_-</c:formatCode>
                <c:ptCount val="7"/>
                <c:pt idx="0">
                  <c:v>999</c:v>
                </c:pt>
                <c:pt idx="1">
                  <c:v>4999</c:v>
                </c:pt>
                <c:pt idx="2">
                  <c:v>9999</c:v>
                </c:pt>
                <c:pt idx="3">
                  <c:v>49999</c:v>
                </c:pt>
                <c:pt idx="4">
                  <c:v>99999</c:v>
                </c:pt>
                <c:pt idx="5">
                  <c:v>499999</c:v>
                </c:pt>
                <c:pt idx="6">
                  <c:v>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4-4DEB-A2F5-AF9F2B5688FC}"/>
            </c:ext>
          </c:extLst>
        </c:ser>
        <c:ser>
          <c:idx val="2"/>
          <c:order val="2"/>
          <c:tx>
            <c:strRef>
              <c:f>vetorOrdenadoCrescente!$AC$4:$AC$5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A4-4DEB-A2F5-AF9F2B5688F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A4-4DEB-A2F5-AF9F2B5688F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A4-4DEB-A2F5-AF9F2B5688F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A4-4DEB-A2F5-AF9F2B5688F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A4-4DEB-A2F5-AF9F2B5688F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A4-4DEB-A2F5-AF9F2B5688F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A4-4DEB-A2F5-AF9F2B5688F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A4-4DEB-A2F5-AF9F2B5688F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A4-4DEB-A2F5-AF9F2B5688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A4-4DEB-A2F5-AF9F2B5688F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A4-4DEB-A2F5-AF9F2B5688F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A4-4DEB-A2F5-AF9F2B5688F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A4-4DEB-A2F5-AF9F2B5688FC}"/>
                </c:ext>
              </c:extLst>
            </c:dLbl>
            <c:dLbl>
              <c:idx val="6"/>
              <c:layout>
                <c:manualLayout>
                  <c:x val="6.3461827710632052E-3"/>
                  <c:y val="-1.7584349397369928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A4-4DEB-A2F5-AF9F2B5688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vetorOrdenadoCrescente!$Z$6:$Z$12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vetorOrdenadoCrescente!$AC$6:$AC$12</c:f>
              <c:numCache>
                <c:formatCode>_-* #,##0_-;\-* #,##0_-;_-* "-"??_-;_-@_-</c:formatCode>
                <c:ptCount val="7"/>
                <c:pt idx="0">
                  <c:v>19952</c:v>
                </c:pt>
                <c:pt idx="1">
                  <c:v>123616</c:v>
                </c:pt>
                <c:pt idx="2">
                  <c:v>267232</c:v>
                </c:pt>
                <c:pt idx="3">
                  <c:v>1568928</c:v>
                </c:pt>
                <c:pt idx="4">
                  <c:v>3337856</c:v>
                </c:pt>
                <c:pt idx="5">
                  <c:v>18951424</c:v>
                </c:pt>
                <c:pt idx="6">
                  <c:v>39902848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4-4DEB-A2F5-AF9F2B5688FC}"/>
            </c:ext>
          </c:extLst>
        </c:ser>
        <c:ser>
          <c:idx val="3"/>
          <c:order val="3"/>
          <c:tx>
            <c:strRef>
              <c:f>vetorOrdenadoCrescente!$AD$4:$AD$5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7A4-4DEB-A2F5-AF9F2B5688F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7A4-4DEB-A2F5-AF9F2B5688F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37A4-4DEB-A2F5-AF9F2B5688FC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7A4-4DEB-A2F5-AF9F2B5688FC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37A4-4DEB-A2F5-AF9F2B5688FC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7A4-4DEB-A2F5-AF9F2B5688FC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37A4-4DEB-A2F5-AF9F2B5688F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A4-4DEB-A2F5-AF9F2B5688F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7A4-4DEB-A2F5-AF9F2B5688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7A4-4DEB-A2F5-AF9F2B5688F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7A4-4DEB-A2F5-AF9F2B5688F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7A4-4DEB-A2F5-AF9F2B5688F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7A4-4DEB-A2F5-AF9F2B5688FC}"/>
                </c:ext>
              </c:extLst>
            </c:dLbl>
            <c:dLbl>
              <c:idx val="6"/>
              <c:layout>
                <c:manualLayout>
                  <c:x val="-6.5995704563040014E-3"/>
                  <c:y val="-2.19804336064560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4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7A4-4DEB-A2F5-AF9F2B5688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vetorOrdenadoCrescente!$Z$6:$Z$12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vetorOrdenadoCrescente!$AD$6:$AD$12</c:f>
              <c:numCache>
                <c:formatCode>_-* #,##0_-;\-* #,##0_-;_-* "-"??_-;_-@_-</c:formatCode>
                <c:ptCount val="7"/>
                <c:pt idx="0">
                  <c:v>4202</c:v>
                </c:pt>
                <c:pt idx="1">
                  <c:v>24821</c:v>
                </c:pt>
                <c:pt idx="2">
                  <c:v>55735</c:v>
                </c:pt>
                <c:pt idx="3">
                  <c:v>374342</c:v>
                </c:pt>
                <c:pt idx="4">
                  <c:v>840442</c:v>
                </c:pt>
                <c:pt idx="5">
                  <c:v>5421304</c:v>
                </c:pt>
                <c:pt idx="6">
                  <c:v>11857216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A4-4DEB-A2F5-AF9F2B568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740239"/>
        <c:axId val="1296737359"/>
      </c:lineChart>
      <c:catAx>
        <c:axId val="1296740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Tamanho do Vetor</a:t>
                </a:r>
              </a:p>
            </c:rich>
          </c:tx>
          <c:layout>
            <c:manualLayout>
              <c:xMode val="edge"/>
              <c:yMode val="edge"/>
              <c:x val="0.45985223221565563"/>
              <c:y val="0.91089822972339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37359"/>
        <c:crosses val="autoZero"/>
        <c:auto val="1"/>
        <c:lblAlgn val="ctr"/>
        <c:lblOffset val="100"/>
        <c:noMultiLvlLbl val="0"/>
      </c:catAx>
      <c:valAx>
        <c:axId val="12967373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Qtd. Movimentações</a:t>
                </a:r>
              </a:p>
            </c:rich>
          </c:tx>
          <c:layout>
            <c:manualLayout>
              <c:xMode val="edge"/>
              <c:yMode val="edge"/>
              <c:x val="4.6875137937863699E-3"/>
              <c:y val="0.301953736044187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74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[dados_performance_v2.xlsx]vetorOrdenadoDecrescente!Tabela dinâmica4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Tempo Médio (ms) por Tamanho do Vetor</a:t>
            </a:r>
            <a:r>
              <a:rPr lang="pt-BR" sz="12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e Algoritmo</a:t>
            </a:r>
            <a:endParaRPr lang="pt-BR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1.63816855335527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2958156680561474E-3"/>
              <c:y val="-1.22862641501645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79284584067799"/>
          <c:y val="0.15189917910986822"/>
          <c:w val="0.83081176245791832"/>
          <c:h val="0.6870553081820715"/>
        </c:manualLayout>
      </c:layout>
      <c:lineChart>
        <c:grouping val="standard"/>
        <c:varyColors val="0"/>
        <c:ser>
          <c:idx val="0"/>
          <c:order val="0"/>
          <c:tx>
            <c:strRef>
              <c:f>vetorOrdenadoDecrescente!$K$4:$K$5</c:f>
              <c:strCache>
                <c:ptCount val="1"/>
                <c:pt idx="0">
                  <c:v>CountSort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FD6-454B-99C3-74C3585A6B4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FD6-454B-99C3-74C3585A6B4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D6-454B-99C3-74C3585A6B4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FD6-454B-99C3-74C3585A6B4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FD6-454B-99C3-74C3585A6B4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FD6-454B-99C3-74C3585A6B43}"/>
                </c:ext>
              </c:extLst>
            </c:dLbl>
            <c:dLbl>
              <c:idx val="6"/>
              <c:layout>
                <c:manualLayout>
                  <c:x val="0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FD6-454B-99C3-74C3585A6B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vetorOrdenadoDecrescente!$J$6:$J$12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vetorOrdenadoDecrescente!$K$6:$K$12</c:f>
              <c:numCache>
                <c:formatCode>0.0000</c:formatCode>
                <c:ptCount val="7"/>
                <c:pt idx="0">
                  <c:v>0.1527</c:v>
                </c:pt>
                <c:pt idx="1">
                  <c:v>0.87803299999999995</c:v>
                </c:pt>
                <c:pt idx="2">
                  <c:v>0.51453300000000002</c:v>
                </c:pt>
                <c:pt idx="3">
                  <c:v>0.39476600000000001</c:v>
                </c:pt>
                <c:pt idx="4">
                  <c:v>0.82509999999999994</c:v>
                </c:pt>
                <c:pt idx="5">
                  <c:v>15.816966000000001</c:v>
                </c:pt>
                <c:pt idx="6">
                  <c:v>8.6046329999999998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D6-454B-99C3-74C3585A6B43}"/>
            </c:ext>
          </c:extLst>
        </c:ser>
        <c:ser>
          <c:idx val="1"/>
          <c:order val="1"/>
          <c:tx>
            <c:strRef>
              <c:f>vetorOrdenadoDecrescente!$L$4:$L$5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D6-454B-99C3-74C3585A6B4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D6-454B-99C3-74C3585A6B4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D6-454B-99C3-74C3585A6B4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D6-454B-99C3-74C3585A6B4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D6-454B-99C3-74C3585A6B4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FD6-454B-99C3-74C3585A6B43}"/>
                </c:ext>
              </c:extLst>
            </c:dLbl>
            <c:dLbl>
              <c:idx val="6"/>
              <c:layout>
                <c:manualLayout>
                  <c:x val="0"/>
                  <c:y val="-1.638168553355278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D6-454B-99C3-74C3585A6B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vetorOrdenadoDecrescente!$J$6:$J$12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vetorOrdenadoDecrescente!$L$6:$L$12</c:f>
              <c:numCache>
                <c:formatCode>0.0000</c:formatCode>
                <c:ptCount val="7"/>
                <c:pt idx="0">
                  <c:v>0.43383300000000002</c:v>
                </c:pt>
                <c:pt idx="1">
                  <c:v>0.33700000000000002</c:v>
                </c:pt>
                <c:pt idx="2">
                  <c:v>0.57883300000000004</c:v>
                </c:pt>
                <c:pt idx="3">
                  <c:v>3.8638330000000001</c:v>
                </c:pt>
                <c:pt idx="4">
                  <c:v>6.6309659999999999</c:v>
                </c:pt>
                <c:pt idx="5">
                  <c:v>93.849232999999998</c:v>
                </c:pt>
                <c:pt idx="6">
                  <c:v>127.2829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D6-454B-99C3-74C3585A6B43}"/>
            </c:ext>
          </c:extLst>
        </c:ser>
        <c:ser>
          <c:idx val="2"/>
          <c:order val="2"/>
          <c:tx>
            <c:strRef>
              <c:f>vetorOrdenadoDecrescente!$M$4:$M$5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FD6-454B-99C3-74C3585A6B4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D6-454B-99C3-74C3585A6B4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FD6-454B-99C3-74C3585A6B4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FD6-454B-99C3-74C3585A6B4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FD6-454B-99C3-74C3585A6B4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FD6-454B-99C3-74C3585A6B43}"/>
                </c:ext>
              </c:extLst>
            </c:dLbl>
            <c:dLbl>
              <c:idx val="6"/>
              <c:layout>
                <c:manualLayout>
                  <c:x val="-2.2958156680561474E-3"/>
                  <c:y val="-1.22862641501645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FD6-454B-99C3-74C3585A6B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vetorOrdenadoDecrescente!$J$6:$J$12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vetorOrdenadoDecrescente!$M$6:$M$12</c:f>
              <c:numCache>
                <c:formatCode>0.0000</c:formatCode>
                <c:ptCount val="7"/>
                <c:pt idx="0">
                  <c:v>0.229633</c:v>
                </c:pt>
                <c:pt idx="1">
                  <c:v>0.20849999999999999</c:v>
                </c:pt>
                <c:pt idx="2">
                  <c:v>0.37026599999999998</c:v>
                </c:pt>
                <c:pt idx="3">
                  <c:v>1.656833</c:v>
                </c:pt>
                <c:pt idx="4">
                  <c:v>3.3552330000000001</c:v>
                </c:pt>
                <c:pt idx="5">
                  <c:v>43.577100000000002</c:v>
                </c:pt>
                <c:pt idx="6">
                  <c:v>51.556800000000003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D6-454B-99C3-74C3585A6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185200"/>
        <c:axId val="1466185680"/>
      </c:lineChart>
      <c:catAx>
        <c:axId val="146618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Tamanho do Vetor</a:t>
                </a:r>
              </a:p>
            </c:rich>
          </c:tx>
          <c:layout>
            <c:manualLayout>
              <c:xMode val="edge"/>
              <c:yMode val="edge"/>
              <c:x val="0.43132537438516882"/>
              <c:y val="0.92953811386174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466185680"/>
        <c:crosses val="autoZero"/>
        <c:auto val="1"/>
        <c:lblAlgn val="ctr"/>
        <c:lblOffset val="100"/>
        <c:noMultiLvlLbl val="0"/>
      </c:catAx>
      <c:valAx>
        <c:axId val="1466185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Tempo Médio (ms)</a:t>
                </a:r>
              </a:p>
            </c:rich>
          </c:tx>
          <c:layout>
            <c:manualLayout>
              <c:xMode val="edge"/>
              <c:yMode val="edge"/>
              <c:x val="4.5916313361122948E-3"/>
              <c:y val="0.36535608882743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46618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[dados_performance_v2.xlsx]vetorOrdenadoDecrescente!Tabela dinâmica5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pt-BR" sz="12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Qtd.</a:t>
            </a:r>
            <a:r>
              <a:rPr lang="pt-BR" sz="12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de Comparações por Tamanho do Vetor e Algoritmo</a:t>
            </a:r>
            <a:endParaRPr lang="pt-BR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9618473846192766"/>
          <c:y val="1.638588104753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6936262272088935E-3"/>
              <c:y val="-3.68682323569541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6936262272088935E-3"/>
              <c:y val="-2.4578821571302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624174848058203E-3"/>
              <c:y val="-1.638588104753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19168999480322"/>
          <c:y val="0.15193808201326997"/>
          <c:w val="0.77649050892992988"/>
          <c:h val="0.66649280859807181"/>
        </c:manualLayout>
      </c:layout>
      <c:lineChart>
        <c:grouping val="standard"/>
        <c:varyColors val="0"/>
        <c:ser>
          <c:idx val="0"/>
          <c:order val="0"/>
          <c:tx>
            <c:strRef>
              <c:f>vetorOrdenadoDecrescente!$S$4:$S$5</c:f>
              <c:strCache>
                <c:ptCount val="1"/>
                <c:pt idx="0">
                  <c:v>CountSort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C9-44D9-A88C-C8440ED700A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9C9-44D9-A88C-C8440ED700A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9C9-44D9-A88C-C8440ED700A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9C9-44D9-A88C-C8440ED700A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9C9-44D9-A88C-C8440ED700A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9C9-44D9-A88C-C8440ED700A7}"/>
                </c:ext>
              </c:extLst>
            </c:dLbl>
            <c:dLbl>
              <c:idx val="6"/>
              <c:layout>
                <c:manualLayout>
                  <c:x val="-4.4624174848058203E-3"/>
                  <c:y val="-1.6385881047535182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9C9-44D9-A88C-C8440ED700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vetorOrdenadoDecrescente!$R$6:$R$12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vetorOrdenadoDecrescente!$S$6:$S$12</c:f>
              <c:numCache>
                <c:formatCode>General</c:formatCode>
                <c:ptCount val="7"/>
                <c:pt idx="0">
                  <c:v>1998</c:v>
                </c:pt>
                <c:pt idx="1">
                  <c:v>9998</c:v>
                </c:pt>
                <c:pt idx="2">
                  <c:v>19998</c:v>
                </c:pt>
                <c:pt idx="3">
                  <c:v>99998</c:v>
                </c:pt>
                <c:pt idx="4">
                  <c:v>199998</c:v>
                </c:pt>
                <c:pt idx="5">
                  <c:v>999998</c:v>
                </c:pt>
                <c:pt idx="6">
                  <c:v>1999998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C9-44D9-A88C-C8440ED700A7}"/>
            </c:ext>
          </c:extLst>
        </c:ser>
        <c:ser>
          <c:idx val="1"/>
          <c:order val="1"/>
          <c:tx>
            <c:strRef>
              <c:f>vetorOrdenadoDecrescente!$T$4:$T$5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6.6936262272088935E-3"/>
                  <c:y val="-3.686823235695416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9C9-44D9-A88C-C8440ED700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vetorOrdenadoDecrescente!$R$6:$R$12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vetorOrdenadoDecrescente!$T$6:$T$12</c:f>
              <c:numCache>
                <c:formatCode>General</c:formatCode>
                <c:ptCount val="7"/>
                <c:pt idx="0">
                  <c:v>5142</c:v>
                </c:pt>
                <c:pt idx="1">
                  <c:v>33884</c:v>
                </c:pt>
                <c:pt idx="2">
                  <c:v>75091</c:v>
                </c:pt>
                <c:pt idx="3">
                  <c:v>447345</c:v>
                </c:pt>
                <c:pt idx="4">
                  <c:v>945717</c:v>
                </c:pt>
                <c:pt idx="5">
                  <c:v>5275474</c:v>
                </c:pt>
                <c:pt idx="6">
                  <c:v>11076445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C9-44D9-A88C-C8440ED700A7}"/>
            </c:ext>
          </c:extLst>
        </c:ser>
        <c:ser>
          <c:idx val="2"/>
          <c:order val="2"/>
          <c:tx>
            <c:strRef>
              <c:f>vetorOrdenadoDecrescente!$U$4:$U$5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C9-44D9-A88C-C8440ED700A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C9-44D9-A88C-C8440ED700A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9C9-44D9-A88C-C8440ED700A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9C9-44D9-A88C-C8440ED700A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9C9-44D9-A88C-C8440ED700A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9C9-44D9-A88C-C8440ED700A7}"/>
                </c:ext>
              </c:extLst>
            </c:dLbl>
            <c:dLbl>
              <c:idx val="6"/>
              <c:layout>
                <c:manualLayout>
                  <c:x val="-6.6936262272088935E-3"/>
                  <c:y val="-2.457882157130281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9C9-44D9-A88C-C8440ED700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vetorOrdenadoDecrescente!$R$6:$R$12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vetorOrdenadoDecrescente!$U$6:$U$12</c:f>
              <c:numCache>
                <c:formatCode>General</c:formatCode>
                <c:ptCount val="7"/>
                <c:pt idx="0">
                  <c:v>5584</c:v>
                </c:pt>
                <c:pt idx="1">
                  <c:v>29896</c:v>
                </c:pt>
                <c:pt idx="2">
                  <c:v>62865</c:v>
                </c:pt>
                <c:pt idx="3">
                  <c:v>362149</c:v>
                </c:pt>
                <c:pt idx="4">
                  <c:v>770141</c:v>
                </c:pt>
                <c:pt idx="5">
                  <c:v>4460766</c:v>
                </c:pt>
                <c:pt idx="6">
                  <c:v>9427463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C9-44D9-A88C-C8440ED7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590335"/>
        <c:axId val="786590815"/>
      </c:lineChart>
      <c:catAx>
        <c:axId val="78659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Tamanho do Vetor</a:t>
                </a:r>
              </a:p>
            </c:rich>
          </c:tx>
          <c:layout>
            <c:manualLayout>
              <c:xMode val="edge"/>
              <c:yMode val="edge"/>
              <c:x val="0.42299448592774891"/>
              <c:y val="0.92132712734216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786590815"/>
        <c:crosses val="autoZero"/>
        <c:auto val="1"/>
        <c:lblAlgn val="ctr"/>
        <c:lblOffset val="100"/>
        <c:noMultiLvlLbl val="0"/>
      </c:catAx>
      <c:valAx>
        <c:axId val="786590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Qtd. Média</a:t>
                </a:r>
                <a:r>
                  <a:rPr lang="pt-BR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Comparações</a:t>
                </a:r>
                <a:endParaRPr lang="pt-BR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layout>
            <c:manualLayout>
              <c:xMode val="edge"/>
              <c:yMode val="edge"/>
              <c:x val="1.1156043712014549E-2"/>
              <c:y val="0.27519925940978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78659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[dados_performance_v2.xlsx]vetorOrdenadoDecrescente!Tabela dinâmica6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pt-BR" sz="12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Qtd. de</a:t>
            </a:r>
            <a:r>
              <a:rPr lang="pt-BR" sz="12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Movimentações por Tamanho do Vetor e Algoritmo</a:t>
            </a:r>
            <a:endParaRPr lang="pt-BR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7949793610367035"/>
          <c:y val="4.110363585932976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1012302910126776E-2"/>
              <c:y val="-3.69932722733968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4049211640507097E-3"/>
              <c:y val="-2.05518179296648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0"/>
              <c:y val="-1.64414543437319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97307448582952"/>
          <c:y val="0.14242409825257762"/>
          <c:w val="0.76395310805340966"/>
          <c:h val="0.67539099429047844"/>
        </c:manualLayout>
      </c:layout>
      <c:lineChart>
        <c:grouping val="standard"/>
        <c:varyColors val="0"/>
        <c:ser>
          <c:idx val="0"/>
          <c:order val="0"/>
          <c:tx>
            <c:strRef>
              <c:f>vetorOrdenadoDecrescente!$AB$4:$AB$5</c:f>
              <c:strCache>
                <c:ptCount val="1"/>
                <c:pt idx="0">
                  <c:v>CountSort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0C-433D-BB82-B9EAC31E3A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70C-433D-BB82-B9EAC31E3A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70C-433D-BB82-B9EAC31E3AE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70C-433D-BB82-B9EAC31E3AE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70C-433D-BB82-B9EAC31E3AE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70C-433D-BB82-B9EAC31E3AEB}"/>
                </c:ext>
              </c:extLst>
            </c:dLbl>
            <c:dLbl>
              <c:idx val="6"/>
              <c:layout>
                <c:manualLayout>
                  <c:x val="0"/>
                  <c:y val="-1.644145434373190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70C-433D-BB82-B9EAC31E3A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vetorOrdenadoDecrescente!$AA$6:$AA$12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vetorOrdenadoDecrescente!$AB$6:$AB$12</c:f>
              <c:numCache>
                <c:formatCode>General</c:formatCode>
                <c:ptCount val="7"/>
                <c:pt idx="0">
                  <c:v>3998</c:v>
                </c:pt>
                <c:pt idx="1">
                  <c:v>16000</c:v>
                </c:pt>
                <c:pt idx="2">
                  <c:v>31000</c:v>
                </c:pt>
                <c:pt idx="3">
                  <c:v>151000</c:v>
                </c:pt>
                <c:pt idx="4">
                  <c:v>301000</c:v>
                </c:pt>
                <c:pt idx="5">
                  <c:v>1501000</c:v>
                </c:pt>
                <c:pt idx="6">
                  <c:v>3001000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C-433D-BB82-B9EAC31E3AEB}"/>
            </c:ext>
          </c:extLst>
        </c:ser>
        <c:ser>
          <c:idx val="1"/>
          <c:order val="1"/>
          <c:tx>
            <c:strRef>
              <c:f>vetorOrdenadoDecrescente!$AC$4:$AC$5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0C-433D-BB82-B9EAC31E3A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70C-433D-BB82-B9EAC31E3A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70C-433D-BB82-B9EAC31E3AE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70C-433D-BB82-B9EAC31E3AE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70C-433D-BB82-B9EAC31E3AE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70C-433D-BB82-B9EAC31E3AEB}"/>
                </c:ext>
              </c:extLst>
            </c:dLbl>
            <c:dLbl>
              <c:idx val="6"/>
              <c:layout>
                <c:manualLayout>
                  <c:x val="-1.1012302910126776E-2"/>
                  <c:y val="-3.69932722733968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70C-433D-BB82-B9EAC31E3A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vetorOrdenadoDecrescente!$AA$6:$AA$12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vetorOrdenadoDecrescente!$AC$6:$AC$12</c:f>
              <c:numCache>
                <c:formatCode>General</c:formatCode>
                <c:ptCount val="7"/>
                <c:pt idx="0">
                  <c:v>19952</c:v>
                </c:pt>
                <c:pt idx="1">
                  <c:v>123616</c:v>
                </c:pt>
                <c:pt idx="2">
                  <c:v>267232</c:v>
                </c:pt>
                <c:pt idx="3">
                  <c:v>1568928</c:v>
                </c:pt>
                <c:pt idx="4">
                  <c:v>3337856</c:v>
                </c:pt>
                <c:pt idx="5">
                  <c:v>18951424</c:v>
                </c:pt>
                <c:pt idx="6">
                  <c:v>39902848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C-433D-BB82-B9EAC31E3AEB}"/>
            </c:ext>
          </c:extLst>
        </c:ser>
        <c:ser>
          <c:idx val="2"/>
          <c:order val="2"/>
          <c:tx>
            <c:strRef>
              <c:f>vetorOrdenadoDecrescente!$AD$4:$AD$5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0C-433D-BB82-B9EAC31E3A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70C-433D-BB82-B9EAC31E3A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70C-433D-BB82-B9EAC31E3AE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70C-433D-BB82-B9EAC31E3AE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70C-433D-BB82-B9EAC31E3AE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70C-433D-BB82-B9EAC31E3AEB}"/>
                </c:ext>
              </c:extLst>
            </c:dLbl>
            <c:dLbl>
              <c:idx val="6"/>
              <c:layout>
                <c:manualLayout>
                  <c:x val="-4.4049211640507097E-3"/>
                  <c:y val="-2.05518179296648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70C-433D-BB82-B9EAC31E3A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vetorOrdenadoDecrescente!$AA$6:$AA$12</c:f>
              <c:strCache>
                <c:ptCount val="7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  <c:pt idx="6">
                  <c:v> 1.000.000 </c:v>
                </c:pt>
              </c:strCache>
            </c:strRef>
          </c:cat>
          <c:val>
            <c:numRef>
              <c:f>vetorOrdenadoDecrescente!$AD$6:$AD$12</c:f>
              <c:numCache>
                <c:formatCode>General</c:formatCode>
                <c:ptCount val="7"/>
                <c:pt idx="0">
                  <c:v>5172</c:v>
                </c:pt>
                <c:pt idx="1">
                  <c:v>29797</c:v>
                </c:pt>
                <c:pt idx="2">
                  <c:v>65735</c:v>
                </c:pt>
                <c:pt idx="3">
                  <c:v>424303</c:v>
                </c:pt>
                <c:pt idx="4">
                  <c:v>940286</c:v>
                </c:pt>
                <c:pt idx="5">
                  <c:v>5921536</c:v>
                </c:pt>
                <c:pt idx="6">
                  <c:v>12854931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0C-433D-BB82-B9EAC31E3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192880"/>
        <c:axId val="1466180400"/>
      </c:lineChart>
      <c:catAx>
        <c:axId val="1466192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Tamanho</a:t>
                </a:r>
                <a:r>
                  <a:rPr lang="pt-BR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do Vetor</a:t>
                </a:r>
                <a:endParaRPr lang="pt-BR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layout>
            <c:manualLayout>
              <c:xMode val="edge"/>
              <c:yMode val="edge"/>
              <c:x val="0.43574780820487669"/>
              <c:y val="0.92928103267868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466180400"/>
        <c:crosses val="autoZero"/>
        <c:auto val="1"/>
        <c:lblAlgn val="ctr"/>
        <c:lblOffset val="100"/>
        <c:noMultiLvlLbl val="0"/>
      </c:catAx>
      <c:valAx>
        <c:axId val="1466180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pt-BR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Qtd.</a:t>
                </a:r>
                <a:r>
                  <a:rPr lang="pt-BR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 Média Movimentações</a:t>
                </a:r>
                <a:endParaRPr lang="pt-BR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23333336569840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/>
          </a:p>
        </c:txPr>
        <c:crossAx val="14661928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506730</xdr:colOff>
      <xdr:row>14</xdr:row>
      <xdr:rowOff>12382</xdr:rowOff>
    </xdr:from>
    <xdr:to>
      <xdr:col>15</xdr:col>
      <xdr:colOff>558165</xdr:colOff>
      <xdr:row>31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8A03CA-EC06-C0EC-1DF6-A6420907F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13</xdr:row>
      <xdr:rowOff>170497</xdr:rowOff>
    </xdr:from>
    <xdr:to>
      <xdr:col>24</xdr:col>
      <xdr:colOff>0</xdr:colOff>
      <xdr:row>31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EE319A-06DA-E064-8692-BFFB97547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592455</xdr:colOff>
      <xdr:row>14</xdr:row>
      <xdr:rowOff>18096</xdr:rowOff>
    </xdr:from>
    <xdr:to>
      <xdr:col>31</xdr:col>
      <xdr:colOff>598170</xdr:colOff>
      <xdr:row>31</xdr:row>
      <xdr:rowOff>47624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0298B7-280F-D532-EBF1-2E41B04CB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600076</xdr:colOff>
      <xdr:row>14</xdr:row>
      <xdr:rowOff>16192</xdr:rowOff>
    </xdr:from>
    <xdr:to>
      <xdr:col>16</xdr:col>
      <xdr:colOff>15241</xdr:colOff>
      <xdr:row>30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EA4B44-4656-A5BB-B09D-CFE2F4E4C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1904</xdr:colOff>
      <xdr:row>13</xdr:row>
      <xdr:rowOff>180974</xdr:rowOff>
    </xdr:from>
    <xdr:to>
      <xdr:col>24</xdr:col>
      <xdr:colOff>228600</xdr:colOff>
      <xdr:row>30</xdr:row>
      <xdr:rowOff>57148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9EF025-7EED-8CF5-6AE5-A6A6AD7BB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2856</xdr:colOff>
      <xdr:row>13</xdr:row>
      <xdr:rowOff>174307</xdr:rowOff>
    </xdr:from>
    <xdr:to>
      <xdr:col>32</xdr:col>
      <xdr:colOff>247650</xdr:colOff>
      <xdr:row>29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E92F09-6C56-5F6C-1C74-0A2A66F07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609917</xdr:colOff>
      <xdr:row>14</xdr:row>
      <xdr:rowOff>2539</xdr:rowOff>
    </xdr:from>
    <xdr:to>
      <xdr:col>15</xdr:col>
      <xdr:colOff>674688</xdr:colOff>
      <xdr:row>31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97072B9-D45E-1906-7C36-7DFEF159C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9365</xdr:colOff>
      <xdr:row>14</xdr:row>
      <xdr:rowOff>11270</xdr:rowOff>
    </xdr:from>
    <xdr:to>
      <xdr:col>24</xdr:col>
      <xdr:colOff>23812</xdr:colOff>
      <xdr:row>31</xdr:row>
      <xdr:rowOff>7937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D72E7BD-B3A4-D204-7165-3EE8039BA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157</xdr:colOff>
      <xdr:row>14</xdr:row>
      <xdr:rowOff>19685</xdr:rowOff>
    </xdr:from>
    <xdr:to>
      <xdr:col>32</xdr:col>
      <xdr:colOff>587375</xdr:colOff>
      <xdr:row>31</xdr:row>
      <xdr:rowOff>2063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68F2421-26C8-0801-5E88-45EA1CE22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Almeida" refreshedDate="45983.635299305555" createdVersion="8" refreshedVersion="8" minRefreshableVersion="3" recordCount="27" xr:uid="{59AE689B-1376-4DCA-B2F4-F7CA059E72BD}">
  <cacheSource type="worksheet">
    <worksheetSource ref="A1:F28" sheet="vetorAleatorio"/>
  </cacheSource>
  <cacheFields count="6">
    <cacheField name="Tamanho do Vetor" numFmtId="164">
      <sharedItems containsSemiMixedTypes="0" containsString="0" containsNumber="1" containsInteger="1" minValue="1000" maxValue="1000000" count="7">
        <n v="1000"/>
        <n v="5000"/>
        <n v="10000"/>
        <n v="50000"/>
        <n v="100000"/>
        <n v="500000"/>
        <n v="1000000"/>
      </sharedItems>
    </cacheField>
    <cacheField name="Algoritmo" numFmtId="0">
      <sharedItems count="4">
        <s v="CountSort"/>
        <s v="InsertionSort"/>
        <s v="MergeSort"/>
        <s v="QuickSort"/>
      </sharedItems>
    </cacheField>
    <cacheField name="Tempo (ns)" numFmtId="0">
      <sharedItems containsSemiMixedTypes="0" containsString="0" containsNumber="1" containsInteger="1" minValue="152700" maxValue="59899113666"/>
    </cacheField>
    <cacheField name="Tempo (ms)" numFmtId="0">
      <sharedItems containsSemiMixedTypes="0" containsString="0" containsNumber="1" minValue="0.1527" maxValue="59899.113665999997"/>
    </cacheField>
    <cacheField name="Comparações" numFmtId="0">
      <sharedItems containsSemiMixedTypes="0" containsString="0" containsNumber="1" containsInteger="1" minValue="1998" maxValue="62457696397"/>
    </cacheField>
    <cacheField name="Movimentações" numFmtId="0">
      <sharedItems containsSemiMixedTypes="0" containsString="0" containsNumber="1" containsInteger="1" minValue="4000" maxValue="62457696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Almeida" refreshedDate="45983.685349652776" createdVersion="8" refreshedVersion="8" minRefreshableVersion="3" recordCount="28" xr:uid="{9F259330-EE7C-45DE-A895-10216C266027}">
  <cacheSource type="worksheet">
    <worksheetSource ref="A1:F29" sheet="vetorOrdenadoCrescente"/>
  </cacheSource>
  <cacheFields count="6">
    <cacheField name="Tamanho do Vetor" numFmtId="164">
      <sharedItems containsSemiMixedTypes="0" containsString="0" containsNumber="1" containsInteger="1" minValue="1000" maxValue="1000000" count="7">
        <n v="1000"/>
        <n v="5000"/>
        <n v="10000"/>
        <n v="50000"/>
        <n v="100000"/>
        <n v="500000"/>
        <n v="1000000"/>
      </sharedItems>
    </cacheField>
    <cacheField name="Algoritmo" numFmtId="0">
      <sharedItems count="4">
        <s v="CountSort"/>
        <s v="InsertionSort"/>
        <s v="MergeSort"/>
        <s v="QuickSort"/>
      </sharedItems>
    </cacheField>
    <cacheField name="Tempo (ns)" numFmtId="164">
      <sharedItems containsSemiMixedTypes="0" containsString="0" containsNumber="1" containsInteger="1" minValue="45266" maxValue="61244833"/>
    </cacheField>
    <cacheField name="Tempo (ms)" numFmtId="165">
      <sharedItems containsSemiMixedTypes="0" containsString="0" containsNumber="1" minValue="4.5266000000000001E-2" maxValue="61.244833"/>
    </cacheField>
    <cacheField name="Comparações" numFmtId="164">
      <sharedItems containsSemiMixedTypes="0" containsString="0" containsNumber="1" containsInteger="1" minValue="999" maxValue="10066432"/>
    </cacheField>
    <cacheField name="Movimentações" numFmtId="164">
      <sharedItems containsSemiMixedTypes="0" containsString="0" containsNumber="1" containsInteger="1" minValue="999" maxValue="3990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Almeida" refreshedDate="45984.565395138889" createdVersion="8" refreshedVersion="8" minRefreshableVersion="3" recordCount="27" xr:uid="{F898F3BA-ADFD-4BE7-9A84-2C8A4F0190A5}">
  <cacheSource type="worksheet">
    <worksheetSource ref="A1:F28" sheet="vetorOrdenadoDecrescente"/>
  </cacheSource>
  <cacheFields count="6">
    <cacheField name="Tamanho do Vetor" numFmtId="164">
      <sharedItems containsSemiMixedTypes="0" containsString="0" containsNumber="1" containsInteger="1" minValue="1000" maxValue="1000000" count="7">
        <n v="1000"/>
        <n v="5000"/>
        <n v="10000"/>
        <n v="50000"/>
        <n v="100000"/>
        <n v="500000"/>
        <n v="1000000"/>
      </sharedItems>
    </cacheField>
    <cacheField name="Algoritmo" numFmtId="0">
      <sharedItems count="4">
        <s v="CountSort"/>
        <s v="InsertionSort"/>
        <s v="MergeSort"/>
        <s v="QuickSort"/>
      </sharedItems>
    </cacheField>
    <cacheField name="Tempo (ns)" numFmtId="0">
      <sharedItems containsSemiMixedTypes="0" containsString="0" containsNumber="1" containsInteger="1" minValue="152700" maxValue="191382219266"/>
    </cacheField>
    <cacheField name="Tempo (ms)" numFmtId="0">
      <sharedItems containsSemiMixedTypes="0" containsString="0" containsNumber="1" minValue="0.1527" maxValue="191382.219266"/>
    </cacheField>
    <cacheField name="Comparações" numFmtId="0">
      <sharedItems containsSemiMixedTypes="0" containsString="0" containsNumber="1" containsInteger="1" minValue="1998" maxValue="124875388708"/>
    </cacheField>
    <cacheField name="Movimentações" numFmtId="0">
      <sharedItems containsSemiMixedTypes="0" containsString="0" containsNumber="1" containsInteger="1" minValue="3998" maxValue="1248753887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152700"/>
    <n v="0.1527"/>
    <n v="1998"/>
    <n v="4000"/>
  </r>
  <r>
    <x v="0"/>
    <x v="1"/>
    <n v="1619366"/>
    <n v="1.6193660000000001"/>
    <n v="256159"/>
    <n v="256159"/>
  </r>
  <r>
    <x v="0"/>
    <x v="2"/>
    <n v="296500"/>
    <n v="0.29649999999999999"/>
    <n v="8712"/>
    <n v="19952"/>
  </r>
  <r>
    <x v="0"/>
    <x v="3"/>
    <n v="271766"/>
    <n v="0.27176600000000001"/>
    <n v="6822"/>
    <n v="7648"/>
  </r>
  <r>
    <x v="1"/>
    <x v="0"/>
    <n v="554433"/>
    <n v="0.55443299999999995"/>
    <n v="9998"/>
    <n v="16000"/>
  </r>
  <r>
    <x v="1"/>
    <x v="1"/>
    <n v="13506200"/>
    <n v="13.5062"/>
    <n v="6256660"/>
    <n v="6256660"/>
  </r>
  <r>
    <x v="1"/>
    <x v="2"/>
    <n v="561733"/>
    <n v="0.56173300000000004"/>
    <n v="55183"/>
    <n v="123616"/>
  </r>
  <r>
    <x v="1"/>
    <x v="3"/>
    <n v="437833"/>
    <n v="0.43783300000000003"/>
    <n v="37713"/>
    <n v="45431"/>
  </r>
  <r>
    <x v="2"/>
    <x v="0"/>
    <n v="831600"/>
    <n v="0.83160000000000001"/>
    <n v="19998"/>
    <n v="31000"/>
  </r>
  <r>
    <x v="2"/>
    <x v="1"/>
    <n v="16672833"/>
    <n v="16.672833000000001"/>
    <n v="24897335"/>
    <n v="24897335"/>
  </r>
  <r>
    <x v="2"/>
    <x v="2"/>
    <n v="1096733"/>
    <n v="1.096733"/>
    <n v="120458"/>
    <n v="267232"/>
  </r>
  <r>
    <x v="2"/>
    <x v="3"/>
    <n v="815266"/>
    <n v="0.81526600000000005"/>
    <n v="79656"/>
    <n v="99317"/>
  </r>
  <r>
    <x v="3"/>
    <x v="0"/>
    <n v="444633"/>
    <n v="0.444633"/>
    <n v="99998"/>
    <n v="151000"/>
  </r>
  <r>
    <x v="3"/>
    <x v="1"/>
    <n v="504910766"/>
    <n v="504.91076600000002"/>
    <n v="625178959"/>
    <n v="625178959"/>
  </r>
  <r>
    <x v="3"/>
    <x v="2"/>
    <n v="8612233"/>
    <n v="8.6122329999999998"/>
    <n v="718172"/>
    <n v="1568928"/>
  </r>
  <r>
    <x v="3"/>
    <x v="3"/>
    <n v="4571433"/>
    <n v="4.5714329999999999"/>
    <n v="451145"/>
    <n v="602294"/>
  </r>
  <r>
    <x v="4"/>
    <x v="0"/>
    <n v="466800"/>
    <n v="0.46679999999999999"/>
    <n v="199998"/>
    <n v="301000"/>
  </r>
  <r>
    <x v="4"/>
    <x v="1"/>
    <n v="2195900900"/>
    <n v="2195.9009000000001"/>
    <n v="2493769933"/>
    <n v="2493769933"/>
  </r>
  <r>
    <x v="4"/>
    <x v="2"/>
    <n v="14820866"/>
    <n v="14.820866000000001"/>
    <n v="1536133"/>
    <n v="3337856"/>
  </r>
  <r>
    <x v="4"/>
    <x v="3"/>
    <n v="9110400"/>
    <n v="9.1104000000000003"/>
    <n v="950272"/>
    <n v="1300548"/>
  </r>
  <r>
    <x v="5"/>
    <x v="0"/>
    <n v="5311700"/>
    <n v="5.3117000000000001"/>
    <n v="999998"/>
    <n v="1501000"/>
  </r>
  <r>
    <x v="5"/>
    <x v="1"/>
    <n v="59899113666"/>
    <n v="59899.113665999997"/>
    <n v="62457696397"/>
    <n v="62457696397"/>
  </r>
  <r>
    <x v="5"/>
    <x v="2"/>
    <n v="80896600"/>
    <n v="80.896600000000007"/>
    <n v="8835557"/>
    <n v="18951424"/>
  </r>
  <r>
    <x v="5"/>
    <x v="3"/>
    <n v="45891100"/>
    <n v="45.891100000000002"/>
    <n v="5325687"/>
    <n v="7651378"/>
  </r>
  <r>
    <x v="6"/>
    <x v="0"/>
    <n v="11683900"/>
    <n v="11.6839"/>
    <n v="1999998"/>
    <n v="3001000"/>
  </r>
  <r>
    <x v="6"/>
    <x v="2"/>
    <n v="185468566"/>
    <n v="185.46856600000001"/>
    <n v="18670251"/>
    <n v="39902848"/>
  </r>
  <r>
    <x v="6"/>
    <x v="3"/>
    <n v="114640200"/>
    <n v="114.64019999999999"/>
    <n v="11161850"/>
    <n v="163237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161633"/>
    <n v="0.161633"/>
    <n v="1998"/>
    <n v="3999"/>
  </r>
  <r>
    <x v="0"/>
    <x v="1"/>
    <n v="57400"/>
    <n v="5.74E-2"/>
    <n v="999"/>
    <n v="999"/>
  </r>
  <r>
    <x v="0"/>
    <x v="2"/>
    <n v="426433"/>
    <n v="0.42643300000000001"/>
    <n v="5044"/>
    <n v="19952"/>
  </r>
  <r>
    <x v="0"/>
    <x v="3"/>
    <n v="97266"/>
    <n v="9.7266000000000005E-2"/>
    <n v="5099"/>
    <n v="4202"/>
  </r>
  <r>
    <x v="1"/>
    <x v="0"/>
    <n v="546733"/>
    <n v="0.54673300000000002"/>
    <n v="9998"/>
    <n v="16000"/>
  </r>
  <r>
    <x v="1"/>
    <x v="1"/>
    <n v="245400"/>
    <n v="0.24540000000000001"/>
    <n v="4999"/>
    <n v="4999"/>
  </r>
  <r>
    <x v="1"/>
    <x v="2"/>
    <n v="254133"/>
    <n v="0.254133"/>
    <n v="32004"/>
    <n v="123616"/>
  </r>
  <r>
    <x v="1"/>
    <x v="3"/>
    <n v="202900"/>
    <n v="0.2029"/>
    <n v="27408"/>
    <n v="24821"/>
  </r>
  <r>
    <x v="2"/>
    <x v="0"/>
    <n v="507400"/>
    <n v="0.50739999999999996"/>
    <n v="19998"/>
    <n v="31000"/>
  </r>
  <r>
    <x v="2"/>
    <x v="1"/>
    <n v="505333"/>
    <n v="0.50533300000000003"/>
    <n v="9999"/>
    <n v="9999"/>
  </r>
  <r>
    <x v="2"/>
    <x v="2"/>
    <n v="553566"/>
    <n v="0.553566"/>
    <n v="69008"/>
    <n v="267232"/>
  </r>
  <r>
    <x v="2"/>
    <x v="3"/>
    <n v="363233"/>
    <n v="0.36323299999999997"/>
    <n v="57865"/>
    <n v="55735"/>
  </r>
  <r>
    <x v="3"/>
    <x v="0"/>
    <n v="469933"/>
    <n v="0.46993299999999999"/>
    <n v="99998"/>
    <n v="151000"/>
  </r>
  <r>
    <x v="3"/>
    <x v="1"/>
    <n v="591500"/>
    <n v="0.59150000000000003"/>
    <n v="49999"/>
    <n v="49999"/>
  </r>
  <r>
    <x v="3"/>
    <x v="2"/>
    <n v="4399333"/>
    <n v="4.3993330000000004"/>
    <n v="401952"/>
    <n v="1568928"/>
  </r>
  <r>
    <x v="3"/>
    <x v="3"/>
    <n v="1710466"/>
    <n v="1.710466"/>
    <n v="337169"/>
    <n v="374342"/>
  </r>
  <r>
    <x v="4"/>
    <x v="0"/>
    <n v="546666"/>
    <n v="0.54666599999999999"/>
    <n v="199998"/>
    <n v="301000"/>
  </r>
  <r>
    <x v="4"/>
    <x v="1"/>
    <n v="45266"/>
    <n v="4.5266000000000001E-2"/>
    <n v="99999"/>
    <n v="99999"/>
  </r>
  <r>
    <x v="4"/>
    <x v="2"/>
    <n v="4749033"/>
    <n v="4.7490329999999998"/>
    <n v="853904"/>
    <n v="3337856"/>
  </r>
  <r>
    <x v="4"/>
    <x v="3"/>
    <n v="3487833"/>
    <n v="3.4878330000000002"/>
    <n v="720219"/>
    <n v="840442"/>
  </r>
  <r>
    <x v="5"/>
    <x v="0"/>
    <n v="4284866"/>
    <n v="4.2848660000000001"/>
    <n v="999998"/>
    <n v="1501000"/>
  </r>
  <r>
    <x v="5"/>
    <x v="1"/>
    <n v="304000"/>
    <n v="0.30399999999999999"/>
    <n v="499999"/>
    <n v="499999"/>
  </r>
  <r>
    <x v="5"/>
    <x v="2"/>
    <n v="30029333"/>
    <n v="30.029333000000001"/>
    <n v="4783216"/>
    <n v="18951424"/>
  </r>
  <r>
    <x v="5"/>
    <x v="3"/>
    <n v="26627433"/>
    <n v="26.627433"/>
    <n v="4210650"/>
    <n v="5421304"/>
  </r>
  <r>
    <x v="6"/>
    <x v="0"/>
    <n v="6848533"/>
    <n v="6.8485329999999998"/>
    <n v="1999998"/>
    <n v="3001000"/>
  </r>
  <r>
    <x v="6"/>
    <x v="1"/>
    <n v="425166"/>
    <n v="0.42516599999999999"/>
    <n v="999999"/>
    <n v="999999"/>
  </r>
  <r>
    <x v="6"/>
    <x v="2"/>
    <n v="61244833"/>
    <n v="61.244833"/>
    <n v="10066432"/>
    <n v="39902848"/>
  </r>
  <r>
    <x v="6"/>
    <x v="3"/>
    <n v="49848900"/>
    <n v="49.8489"/>
    <n v="8928606"/>
    <n v="118572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152700"/>
    <n v="0.1527"/>
    <n v="1998"/>
    <n v="3998"/>
  </r>
  <r>
    <x v="0"/>
    <x v="1"/>
    <n v="3852700"/>
    <n v="3.8527"/>
    <n v="500005"/>
    <n v="500005"/>
  </r>
  <r>
    <x v="0"/>
    <x v="2"/>
    <n v="433833"/>
    <n v="0.43383300000000002"/>
    <n v="5142"/>
    <n v="19952"/>
  </r>
  <r>
    <x v="0"/>
    <x v="3"/>
    <n v="229633"/>
    <n v="0.229633"/>
    <n v="5584"/>
    <n v="5172"/>
  </r>
  <r>
    <x v="1"/>
    <x v="0"/>
    <n v="878033"/>
    <n v="0.87803299999999995"/>
    <n v="9998"/>
    <n v="16000"/>
  </r>
  <r>
    <x v="1"/>
    <x v="1"/>
    <n v="17504700"/>
    <n v="17.5047"/>
    <n v="12490062"/>
    <n v="12490062"/>
  </r>
  <r>
    <x v="1"/>
    <x v="2"/>
    <n v="337000"/>
    <n v="0.33700000000000002"/>
    <n v="33884"/>
    <n v="123616"/>
  </r>
  <r>
    <x v="1"/>
    <x v="3"/>
    <n v="208500"/>
    <n v="0.20849999999999999"/>
    <n v="29896"/>
    <n v="29797"/>
  </r>
  <r>
    <x v="2"/>
    <x v="0"/>
    <n v="514533"/>
    <n v="0.51453300000000002"/>
    <n v="19998"/>
    <n v="31000"/>
  </r>
  <r>
    <x v="2"/>
    <x v="1"/>
    <n v="51812333"/>
    <n v="51.812333000000002"/>
    <n v="49954867"/>
    <n v="49954867"/>
  </r>
  <r>
    <x v="2"/>
    <x v="2"/>
    <n v="578833"/>
    <n v="0.57883300000000004"/>
    <n v="75091"/>
    <n v="267232"/>
  </r>
  <r>
    <x v="2"/>
    <x v="3"/>
    <n v="370266"/>
    <n v="0.37026599999999998"/>
    <n v="62865"/>
    <n v="65735"/>
  </r>
  <r>
    <x v="3"/>
    <x v="0"/>
    <n v="394766"/>
    <n v="0.39476600000000001"/>
    <n v="99998"/>
    <n v="151000"/>
  </r>
  <r>
    <x v="3"/>
    <x v="1"/>
    <n v="1539672000"/>
    <n v="1539.672"/>
    <n v="1248776471"/>
    <n v="1248776471"/>
  </r>
  <r>
    <x v="3"/>
    <x v="2"/>
    <n v="3863833"/>
    <n v="3.8638330000000001"/>
    <n v="447345"/>
    <n v="1568928"/>
  </r>
  <r>
    <x v="3"/>
    <x v="3"/>
    <n v="1656833"/>
    <n v="1.656833"/>
    <n v="362149"/>
    <n v="424303"/>
  </r>
  <r>
    <x v="4"/>
    <x v="0"/>
    <n v="825100"/>
    <n v="0.82509999999999994"/>
    <n v="199998"/>
    <n v="301000"/>
  </r>
  <r>
    <x v="4"/>
    <x v="1"/>
    <n v="5840609600"/>
    <n v="5840.6095999999998"/>
    <n v="4995056280"/>
    <n v="4995056280"/>
  </r>
  <r>
    <x v="4"/>
    <x v="2"/>
    <n v="6630966"/>
    <n v="6.6309659999999999"/>
    <n v="945717"/>
    <n v="3337856"/>
  </r>
  <r>
    <x v="4"/>
    <x v="3"/>
    <n v="3355233"/>
    <n v="3.3552330000000001"/>
    <n v="770141"/>
    <n v="940286"/>
  </r>
  <r>
    <x v="5"/>
    <x v="0"/>
    <n v="15816966"/>
    <n v="15.816966000000001"/>
    <n v="999998"/>
    <n v="1501000"/>
  </r>
  <r>
    <x v="5"/>
    <x v="1"/>
    <n v="191382219266"/>
    <n v="191382.219266"/>
    <n v="124875388708"/>
    <n v="124875388708"/>
  </r>
  <r>
    <x v="5"/>
    <x v="2"/>
    <n v="93849233"/>
    <n v="93.849232999999998"/>
    <n v="5275474"/>
    <n v="18951424"/>
  </r>
  <r>
    <x v="5"/>
    <x v="3"/>
    <n v="43577100"/>
    <n v="43.577100000000002"/>
    <n v="4460766"/>
    <n v="5921536"/>
  </r>
  <r>
    <x v="6"/>
    <x v="0"/>
    <n v="8604633"/>
    <n v="8.6046329999999998"/>
    <n v="1999998"/>
    <n v="3001000"/>
  </r>
  <r>
    <x v="6"/>
    <x v="2"/>
    <n v="127282900"/>
    <n v="127.2829"/>
    <n v="11076445"/>
    <n v="39902848"/>
  </r>
  <r>
    <x v="6"/>
    <x v="3"/>
    <n v="51556800"/>
    <n v="51.556800000000003"/>
    <n v="9427463"/>
    <n v="128549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508B7-9A1F-4CB7-880C-12C229B1FFEC}" name="Tabela dinâ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 rowHeaderCaption="Tamanho do Vetor" colHeaderCaption="Algoritmos">
  <location ref="J5:M13" firstHeaderRow="1" firstDataRow="2" firstDataCol="1"/>
  <pivotFields count="6">
    <pivotField axis="axisRow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h="1" x="1"/>
        <item x="2"/>
        <item x="3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2"/>
    </i>
    <i>
      <x v="3"/>
    </i>
  </colItems>
  <dataFields count="1">
    <dataField name="Tempo médio (ms)" fld="3" baseField="0" baseItem="0" numFmtId="165"/>
  </dataFields>
  <formats count="19"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type="origin" dataOnly="0" labelOnly="1" outline="0" fieldPosition="0"/>
    </format>
    <format dxfId="30">
      <pivotArea field="1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0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1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fieldPosition="0">
        <references count="1">
          <reference field="1" count="0"/>
        </references>
      </pivotArea>
    </format>
  </formats>
  <chartFormats count="2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9F5CC-FB08-45B4-AE46-867242C423E6}" name="Tabela dinâ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>
  <location ref="Z5:AC13" firstHeaderRow="1" firstDataRow="2" firstDataCol="1"/>
  <pivotFields count="6">
    <pivotField axis="axisRow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h="1" x="1"/>
        <item x="2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2"/>
    </i>
    <i>
      <x v="3"/>
    </i>
  </colItems>
  <dataFields count="1">
    <dataField name="Qtd. de Movimentações" fld="5" baseField="0" baseItem="0" numFmtId="164"/>
  </dataFields>
  <formats count="1">
    <format dxfId="38">
      <pivotArea outline="0" collapsedLevelsAreSubtotals="1" fieldPosition="0"/>
    </format>
  </formats>
  <chartFormats count="27">
    <chartFormat chart="3" format="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3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3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BF3CC-365A-4F68-A2EE-A118CFF3A04B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1">
  <location ref="R5:U13" firstHeaderRow="1" firstDataRow="2" firstDataCol="1"/>
  <pivotFields count="6">
    <pivotField axis="axisRow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h="1"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2"/>
    </i>
    <i>
      <x v="3"/>
    </i>
  </colItems>
  <dataFields count="1">
    <dataField name="Qtd. De Comparações" fld="4" baseField="0" baseItem="0" numFmtId="164"/>
  </dataFields>
  <formats count="19">
    <format dxfId="57">
      <pivotArea outline="0" collapsedLevelsAreSubtotals="1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1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fieldPosition="0">
        <references count="1">
          <reference field="1" count="0"/>
        </references>
      </pivotArea>
    </format>
    <format dxfId="48">
      <pivotArea type="origin" dataOnly="0" labelOnly="1" outline="0" fieldPosition="0"/>
    </format>
    <format dxfId="47">
      <pivotArea field="1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type="origin" dataOnly="0" labelOnly="1" outline="0" fieldPosition="0"/>
    </format>
    <format dxfId="42">
      <pivotArea field="1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</formats>
  <chartFormats count="28">
    <chartFormat chart="3" format="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3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3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3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4BA0A-E713-4C20-B822-B2661FE4A0C8}" name="Tabela dinâmica6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 rowHeaderCaption="Tamanho do Vetor" colHeaderCaption="Algoritmo">
  <location ref="Z4:AD12" firstHeaderRow="1" firstDataRow="2" firstDataCol="1"/>
  <pivotFields count="6">
    <pivotField axis="axisRow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164" showAll="0"/>
    <pivotField numFmtId="165" showAll="0"/>
    <pivotField numFmtId="164" showAll="0"/>
    <pivotField dataField="1" numFmtId="16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Qtd. Movimentações" fld="5" baseField="0" baseItem="0" numFmtId="164"/>
  </dataFields>
  <chartFormats count="3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28AFC-3101-418C-80AA-A267BA9952B6}" name="Tabela dinâmica5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Tamanho do Vetor" colHeaderCaption="Algoritmo">
  <location ref="R4:V12" firstHeaderRow="1" firstDataRow="2" firstDataCol="1"/>
  <pivotFields count="6">
    <pivotField axis="axisRow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164" showAll="0"/>
    <pivotField numFmtId="165" showAll="0"/>
    <pivotField dataField="1" numFmtId="164" showAll="0"/>
    <pivotField numFmtId="16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Qtd. Comparações" fld="4" baseField="0" baseItem="0" numFmtId="164"/>
  </dataFields>
  <chartFormats count="3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64A31-46A2-4329-B6AB-08CCE82ED209}" name="Tabela dinâmica4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 rowHeaderCaption="Tamanho do Vetor" colHeaderCaption="Algoritmo">
  <location ref="J4:N12" firstHeaderRow="1" firstDataRow="2" firstDataCol="1"/>
  <pivotFields count="6">
    <pivotField axis="axisRow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164" showAll="0"/>
    <pivotField dataField="1" numFmtId="165" showAll="0"/>
    <pivotField numFmtId="164" showAll="0"/>
    <pivotField numFmtId="16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Tempo Médio (ms)" fld="3" baseField="0" baseItem="0" numFmtId="165"/>
  </dataFields>
  <formats count="18"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1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fieldPosition="0">
        <references count="1">
          <reference field="1" count="0"/>
        </references>
      </pivotArea>
    </format>
    <format dxfId="10">
      <pivotArea type="origin" dataOnly="0" labelOnly="1" outline="0" fieldPosition="0"/>
    </format>
    <format dxfId="9">
      <pivotArea field="1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type="origin" dataOnly="0" labelOnly="1" outline="0" fieldPosition="0"/>
    </format>
    <format dxfId="4">
      <pivotArea field="1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</formats>
  <chartFormats count="3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C9E39-2302-4919-AD90-6C0D72B04BD4}" name="Tabela dinâmica6" cacheId="7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 rowHeaderCaption="Tamanho do Vetor" colHeaderCaption="Algoritmos">
  <location ref="AA4:AD12" firstHeaderRow="1" firstDataRow="2" firstDataCol="1"/>
  <pivotFields count="6">
    <pivotField axis="axisRow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h="1" x="1"/>
        <item x="2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2"/>
    </i>
    <i>
      <x v="3"/>
    </i>
  </colItems>
  <dataFields count="1">
    <dataField name="Qtd. Média Movimentações" fld="5" baseField="0" baseItem="0"/>
  </dataFields>
  <chartFormats count="2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1BCAB-0A31-4716-AC1E-1C9C89DC6BB3}" name="Tabela dinâmica5" cacheId="7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8" rowHeaderCaption="Tamanho do Vetor" colHeaderCaption="Algoritmos">
  <location ref="R4:U12" firstHeaderRow="1" firstDataRow="2" firstDataCol="1"/>
  <pivotFields count="6">
    <pivotField axis="axisRow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h="1"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2"/>
    </i>
    <i>
      <x v="3"/>
    </i>
  </colItems>
  <dataFields count="1">
    <dataField name="Qtd. Média Comparações" fld="4" baseField="0" baseItem="0"/>
  </dataFields>
  <chartFormats count="2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989E4-77E9-42E1-803E-9983928322D8}" name="Tabela dinâmica4" cacheId="7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8" rowHeaderCaption="Tamanho do Vetor" colHeaderCaption="Algoritmos">
  <location ref="J4:M12" firstHeaderRow="1" firstDataRow="2" firstDataCol="1"/>
  <pivotFields count="6">
    <pivotField axis="axisRow" numFmtId="16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h="1" x="1"/>
        <item x="2"/>
        <item x="3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3">
    <i>
      <x/>
    </i>
    <i>
      <x v="2"/>
    </i>
    <i>
      <x v="3"/>
    </i>
  </colItems>
  <dataFields count="1">
    <dataField name="Tempo Médio (ms)" fld="3" baseField="0" baseItem="0" numFmtId="165"/>
  </dataFields>
  <formats count="1">
    <format dxfId="0">
      <pivotArea outline="0" collapsedLevelsAreSubtotals="1" fieldPosition="0"/>
    </format>
  </formats>
  <chartFormats count="2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A1AA-3330-41C5-942D-FB91CAB3A118}">
  <dimension ref="A1:AC28"/>
  <sheetViews>
    <sheetView workbookViewId="0"/>
  </sheetViews>
  <sheetFormatPr defaultRowHeight="14.4" x14ac:dyDescent="0.3"/>
  <cols>
    <col min="1" max="1" width="21.6640625" style="2" bestFit="1" customWidth="1"/>
    <col min="2" max="2" width="15.109375" style="2" customWidth="1"/>
    <col min="3" max="3" width="15.109375" style="2" bestFit="1" customWidth="1"/>
    <col min="4" max="4" width="12" style="2" customWidth="1"/>
    <col min="5" max="5" width="15.5546875" style="2" customWidth="1"/>
    <col min="6" max="6" width="15.109375" style="2" bestFit="1" customWidth="1"/>
    <col min="7" max="9" width="8.88671875" style="2"/>
    <col min="10" max="10" width="21.5546875" style="2" bestFit="1" customWidth="1"/>
    <col min="11" max="11" width="14.88671875" style="2" bestFit="1" customWidth="1"/>
    <col min="12" max="12" width="10.109375" style="2" bestFit="1" customWidth="1"/>
    <col min="13" max="14" width="9.33203125" style="2" bestFit="1" customWidth="1"/>
    <col min="15" max="15" width="12" style="2" bestFit="1" customWidth="1"/>
    <col min="16" max="17" width="8.88671875" style="2"/>
    <col min="18" max="18" width="19.6640625" style="2" bestFit="1" customWidth="1"/>
    <col min="19" max="19" width="21.21875" bestFit="1" customWidth="1"/>
    <col min="20" max="22" width="11.44140625" bestFit="1" customWidth="1"/>
    <col min="23" max="23" width="12" bestFit="1" customWidth="1"/>
    <col min="26" max="26" width="22.109375" bestFit="1" customWidth="1"/>
    <col min="27" max="27" width="19.5546875" bestFit="1" customWidth="1"/>
    <col min="28" max="30" width="11.44140625" bestFit="1" customWidth="1"/>
  </cols>
  <sheetData>
    <row r="1" spans="1:29" x14ac:dyDescent="0.3">
      <c r="A1" s="2" t="s">
        <v>6</v>
      </c>
      <c r="B1" s="2" t="s">
        <v>7</v>
      </c>
      <c r="C1" s="2" t="s">
        <v>8</v>
      </c>
      <c r="D1" s="2" t="s">
        <v>11</v>
      </c>
      <c r="E1" s="2" t="s">
        <v>9</v>
      </c>
      <c r="F1" s="2" t="s">
        <v>10</v>
      </c>
    </row>
    <row r="2" spans="1:29" x14ac:dyDescent="0.3">
      <c r="A2" s="4">
        <v>1000</v>
      </c>
      <c r="B2" s="2" t="s">
        <v>0</v>
      </c>
      <c r="C2" s="4">
        <v>152700</v>
      </c>
      <c r="D2" s="3">
        <f>C2/1000000</f>
        <v>0.1527</v>
      </c>
      <c r="E2" s="4">
        <v>1998</v>
      </c>
      <c r="F2" s="4">
        <v>4000</v>
      </c>
    </row>
    <row r="3" spans="1:29" x14ac:dyDescent="0.3">
      <c r="A3" s="4">
        <v>1000</v>
      </c>
      <c r="B3" s="2" t="s">
        <v>3</v>
      </c>
      <c r="C3" s="4">
        <v>1619366</v>
      </c>
      <c r="D3" s="3">
        <f t="shared" ref="D3:D28" si="0">C3/1000000</f>
        <v>1.6193660000000001</v>
      </c>
      <c r="E3" s="4">
        <v>256159</v>
      </c>
      <c r="F3" s="4">
        <v>256159</v>
      </c>
    </row>
    <row r="4" spans="1:29" x14ac:dyDescent="0.3">
      <c r="A4" s="4">
        <v>1000</v>
      </c>
      <c r="B4" s="2" t="s">
        <v>1</v>
      </c>
      <c r="C4" s="4">
        <v>296500</v>
      </c>
      <c r="D4" s="3">
        <f t="shared" si="0"/>
        <v>0.29649999999999999</v>
      </c>
      <c r="E4" s="4">
        <v>8712</v>
      </c>
      <c r="F4" s="4">
        <v>19952</v>
      </c>
      <c r="J4"/>
      <c r="K4"/>
      <c r="L4"/>
      <c r="M4"/>
      <c r="N4"/>
      <c r="O4"/>
    </row>
    <row r="5" spans="1:29" x14ac:dyDescent="0.3">
      <c r="A5" s="4">
        <v>1000</v>
      </c>
      <c r="B5" s="2" t="s">
        <v>2</v>
      </c>
      <c r="C5" s="4">
        <v>271766</v>
      </c>
      <c r="D5" s="3">
        <f t="shared" si="0"/>
        <v>0.27176600000000001</v>
      </c>
      <c r="E5" s="4">
        <v>6822</v>
      </c>
      <c r="F5" s="4">
        <v>7648</v>
      </c>
      <c r="J5" s="6" t="s">
        <v>12</v>
      </c>
      <c r="K5" s="6" t="s">
        <v>13</v>
      </c>
      <c r="L5" s="7"/>
      <c r="M5" s="7"/>
      <c r="N5"/>
      <c r="O5"/>
      <c r="R5" s="6" t="s">
        <v>14</v>
      </c>
      <c r="S5" s="6" t="s">
        <v>5</v>
      </c>
      <c r="T5" s="7"/>
      <c r="U5" s="7"/>
      <c r="Z5" s="1" t="s">
        <v>15</v>
      </c>
      <c r="AA5" s="1" t="s">
        <v>5</v>
      </c>
    </row>
    <row r="6" spans="1:29" x14ac:dyDescent="0.3">
      <c r="A6" s="4">
        <v>5000</v>
      </c>
      <c r="B6" s="2" t="s">
        <v>0</v>
      </c>
      <c r="C6" s="4">
        <v>554433</v>
      </c>
      <c r="D6" s="3">
        <f t="shared" si="0"/>
        <v>0.55443299999999995</v>
      </c>
      <c r="E6" s="4">
        <v>9998</v>
      </c>
      <c r="F6" s="4">
        <v>16000</v>
      </c>
      <c r="J6" s="6" t="s">
        <v>6</v>
      </c>
      <c r="K6" s="7" t="s">
        <v>0</v>
      </c>
      <c r="L6" s="7" t="s">
        <v>1</v>
      </c>
      <c r="M6" s="7" t="s">
        <v>2</v>
      </c>
      <c r="N6"/>
      <c r="O6"/>
      <c r="R6" s="6" t="s">
        <v>4</v>
      </c>
      <c r="S6" s="7" t="s">
        <v>0</v>
      </c>
      <c r="T6" s="7" t="s">
        <v>1</v>
      </c>
      <c r="U6" s="7" t="s">
        <v>2</v>
      </c>
      <c r="Z6" s="1" t="s">
        <v>4</v>
      </c>
      <c r="AA6" t="s">
        <v>0</v>
      </c>
      <c r="AB6" t="s">
        <v>1</v>
      </c>
      <c r="AC6" t="s">
        <v>2</v>
      </c>
    </row>
    <row r="7" spans="1:29" x14ac:dyDescent="0.3">
      <c r="A7" s="4">
        <v>5000</v>
      </c>
      <c r="B7" s="2" t="s">
        <v>3</v>
      </c>
      <c r="C7" s="4">
        <v>13506200</v>
      </c>
      <c r="D7" s="3">
        <f t="shared" si="0"/>
        <v>13.5062</v>
      </c>
      <c r="E7" s="4">
        <v>6256660</v>
      </c>
      <c r="F7" s="4">
        <v>6256660</v>
      </c>
      <c r="J7" s="8">
        <v>1000</v>
      </c>
      <c r="K7" s="9">
        <v>0.1527</v>
      </c>
      <c r="L7" s="9">
        <v>0.29649999999999999</v>
      </c>
      <c r="M7" s="9">
        <v>0.27176600000000001</v>
      </c>
      <c r="N7"/>
      <c r="O7"/>
      <c r="R7" s="8">
        <v>1000</v>
      </c>
      <c r="S7" s="13">
        <v>1998</v>
      </c>
      <c r="T7" s="13">
        <v>8712</v>
      </c>
      <c r="U7" s="13">
        <v>6822</v>
      </c>
      <c r="Z7" s="5">
        <v>1000</v>
      </c>
      <c r="AA7" s="11">
        <v>4000</v>
      </c>
      <c r="AB7" s="11">
        <v>19952</v>
      </c>
      <c r="AC7" s="11">
        <v>7648</v>
      </c>
    </row>
    <row r="8" spans="1:29" x14ac:dyDescent="0.3">
      <c r="A8" s="4">
        <v>5000</v>
      </c>
      <c r="B8" s="2" t="s">
        <v>1</v>
      </c>
      <c r="C8" s="4">
        <v>561733</v>
      </c>
      <c r="D8" s="3">
        <f t="shared" si="0"/>
        <v>0.56173300000000004</v>
      </c>
      <c r="E8" s="4">
        <v>55183</v>
      </c>
      <c r="F8" s="4">
        <v>123616</v>
      </c>
      <c r="J8" s="8">
        <v>5000</v>
      </c>
      <c r="K8" s="9">
        <v>0.55443299999999995</v>
      </c>
      <c r="L8" s="9">
        <v>0.56173300000000004</v>
      </c>
      <c r="M8" s="9">
        <v>0.43783300000000003</v>
      </c>
      <c r="N8"/>
      <c r="O8"/>
      <c r="R8" s="8">
        <v>5000</v>
      </c>
      <c r="S8" s="13">
        <v>9998</v>
      </c>
      <c r="T8" s="13">
        <v>55183</v>
      </c>
      <c r="U8" s="13">
        <v>37713</v>
      </c>
      <c r="Z8" s="5">
        <v>5000</v>
      </c>
      <c r="AA8" s="11">
        <v>16000</v>
      </c>
      <c r="AB8" s="11">
        <v>123616</v>
      </c>
      <c r="AC8" s="11">
        <v>45431</v>
      </c>
    </row>
    <row r="9" spans="1:29" x14ac:dyDescent="0.3">
      <c r="A9" s="4">
        <v>5000</v>
      </c>
      <c r="B9" s="2" t="s">
        <v>2</v>
      </c>
      <c r="C9" s="4">
        <v>437833</v>
      </c>
      <c r="D9" s="3">
        <f t="shared" si="0"/>
        <v>0.43783300000000003</v>
      </c>
      <c r="E9" s="4">
        <v>37713</v>
      </c>
      <c r="F9" s="4">
        <v>45431</v>
      </c>
      <c r="J9" s="8">
        <v>10000</v>
      </c>
      <c r="K9" s="9">
        <v>0.83160000000000001</v>
      </c>
      <c r="L9" s="9">
        <v>1.096733</v>
      </c>
      <c r="M9" s="9">
        <v>0.81526600000000005</v>
      </c>
      <c r="N9"/>
      <c r="O9"/>
      <c r="R9" s="8">
        <v>10000</v>
      </c>
      <c r="S9" s="13">
        <v>19998</v>
      </c>
      <c r="T9" s="13">
        <v>120458</v>
      </c>
      <c r="U9" s="13">
        <v>79656</v>
      </c>
      <c r="Z9" s="5">
        <v>10000</v>
      </c>
      <c r="AA9" s="11">
        <v>31000</v>
      </c>
      <c r="AB9" s="11">
        <v>267232</v>
      </c>
      <c r="AC9" s="11">
        <v>99317</v>
      </c>
    </row>
    <row r="10" spans="1:29" x14ac:dyDescent="0.3">
      <c r="A10" s="4">
        <v>10000</v>
      </c>
      <c r="B10" s="2" t="s">
        <v>0</v>
      </c>
      <c r="C10" s="4">
        <v>831600</v>
      </c>
      <c r="D10" s="3">
        <f t="shared" si="0"/>
        <v>0.83160000000000001</v>
      </c>
      <c r="E10" s="4">
        <v>19998</v>
      </c>
      <c r="F10" s="4">
        <v>31000</v>
      </c>
      <c r="J10" s="8">
        <v>50000</v>
      </c>
      <c r="K10" s="9">
        <v>0.444633</v>
      </c>
      <c r="L10" s="9">
        <v>8.6122329999999998</v>
      </c>
      <c r="M10" s="9">
        <v>4.5714329999999999</v>
      </c>
      <c r="N10"/>
      <c r="O10"/>
      <c r="R10" s="8">
        <v>50000</v>
      </c>
      <c r="S10" s="13">
        <v>99998</v>
      </c>
      <c r="T10" s="13">
        <v>718172</v>
      </c>
      <c r="U10" s="13">
        <v>451145</v>
      </c>
      <c r="Z10" s="5">
        <v>50000</v>
      </c>
      <c r="AA10" s="11">
        <v>151000</v>
      </c>
      <c r="AB10" s="11">
        <v>1568928</v>
      </c>
      <c r="AC10" s="11">
        <v>602294</v>
      </c>
    </row>
    <row r="11" spans="1:29" x14ac:dyDescent="0.3">
      <c r="A11" s="4">
        <v>10000</v>
      </c>
      <c r="B11" s="2" t="s">
        <v>3</v>
      </c>
      <c r="C11" s="4">
        <v>16672833</v>
      </c>
      <c r="D11" s="3">
        <f t="shared" si="0"/>
        <v>16.672833000000001</v>
      </c>
      <c r="E11" s="4">
        <v>24897335</v>
      </c>
      <c r="F11" s="4">
        <v>24897335</v>
      </c>
      <c r="J11" s="8">
        <v>100000</v>
      </c>
      <c r="K11" s="9">
        <v>0.46679999999999999</v>
      </c>
      <c r="L11" s="9">
        <v>14.820866000000001</v>
      </c>
      <c r="M11" s="9">
        <v>9.1104000000000003</v>
      </c>
      <c r="N11"/>
      <c r="O11"/>
      <c r="R11" s="8">
        <v>100000</v>
      </c>
      <c r="S11" s="13">
        <v>199998</v>
      </c>
      <c r="T11" s="13">
        <v>1536133</v>
      </c>
      <c r="U11" s="13">
        <v>950272</v>
      </c>
      <c r="Z11" s="5">
        <v>100000</v>
      </c>
      <c r="AA11" s="11">
        <v>301000</v>
      </c>
      <c r="AB11" s="11">
        <v>3337856</v>
      </c>
      <c r="AC11" s="11">
        <v>1300548</v>
      </c>
    </row>
    <row r="12" spans="1:29" x14ac:dyDescent="0.3">
      <c r="A12" s="4">
        <v>10000</v>
      </c>
      <c r="B12" s="2" t="s">
        <v>1</v>
      </c>
      <c r="C12" s="4">
        <v>1096733</v>
      </c>
      <c r="D12" s="3">
        <f t="shared" si="0"/>
        <v>1.096733</v>
      </c>
      <c r="E12" s="4">
        <v>120458</v>
      </c>
      <c r="F12" s="4">
        <v>267232</v>
      </c>
      <c r="J12" s="8">
        <v>500000</v>
      </c>
      <c r="K12" s="9">
        <v>5.3117000000000001</v>
      </c>
      <c r="L12" s="9">
        <v>80.896600000000007</v>
      </c>
      <c r="M12" s="9">
        <v>45.891100000000002</v>
      </c>
      <c r="N12"/>
      <c r="O12"/>
      <c r="R12" s="8">
        <v>500000</v>
      </c>
      <c r="S12" s="13">
        <v>999998</v>
      </c>
      <c r="T12" s="13">
        <v>8835557</v>
      </c>
      <c r="U12" s="13">
        <v>5325687</v>
      </c>
      <c r="Z12" s="5">
        <v>500000</v>
      </c>
      <c r="AA12" s="11">
        <v>1501000</v>
      </c>
      <c r="AB12" s="11">
        <v>18951424</v>
      </c>
      <c r="AC12" s="11">
        <v>7651378</v>
      </c>
    </row>
    <row r="13" spans="1:29" x14ac:dyDescent="0.3">
      <c r="A13" s="4">
        <v>10000</v>
      </c>
      <c r="B13" s="2" t="s">
        <v>2</v>
      </c>
      <c r="C13" s="4">
        <v>815266</v>
      </c>
      <c r="D13" s="3">
        <f t="shared" si="0"/>
        <v>0.81526600000000005</v>
      </c>
      <c r="E13" s="4">
        <v>79656</v>
      </c>
      <c r="F13" s="4">
        <v>99317</v>
      </c>
      <c r="J13" s="8">
        <v>1000000</v>
      </c>
      <c r="K13" s="9">
        <v>11.6839</v>
      </c>
      <c r="L13" s="9">
        <v>185.46856600000001</v>
      </c>
      <c r="M13" s="9">
        <v>114.64019999999999</v>
      </c>
      <c r="N13"/>
      <c r="O13"/>
      <c r="R13" s="8">
        <v>1000000</v>
      </c>
      <c r="S13" s="13">
        <v>1999998</v>
      </c>
      <c r="T13" s="13">
        <v>18670251</v>
      </c>
      <c r="U13" s="13">
        <v>11161850</v>
      </c>
      <c r="Z13" s="5">
        <v>1000000</v>
      </c>
      <c r="AA13" s="11">
        <v>3001000</v>
      </c>
      <c r="AB13" s="11">
        <v>39902848</v>
      </c>
      <c r="AC13" s="11">
        <v>16323704</v>
      </c>
    </row>
    <row r="14" spans="1:29" x14ac:dyDescent="0.3">
      <c r="A14" s="4">
        <v>50000</v>
      </c>
      <c r="B14" s="2" t="s">
        <v>0</v>
      </c>
      <c r="C14" s="4">
        <v>444633</v>
      </c>
      <c r="D14" s="3">
        <f t="shared" si="0"/>
        <v>0.444633</v>
      </c>
      <c r="E14" s="4">
        <v>99998</v>
      </c>
      <c r="F14" s="4">
        <v>151000</v>
      </c>
      <c r="J14"/>
      <c r="K14"/>
      <c r="L14"/>
    </row>
    <row r="15" spans="1:29" x14ac:dyDescent="0.3">
      <c r="A15" s="4">
        <v>50000</v>
      </c>
      <c r="B15" s="2" t="s">
        <v>3</v>
      </c>
      <c r="C15" s="4">
        <v>504910766</v>
      </c>
      <c r="D15" s="3">
        <f t="shared" si="0"/>
        <v>504.91076600000002</v>
      </c>
      <c r="E15" s="4">
        <v>625178959</v>
      </c>
      <c r="F15" s="4">
        <v>625178959</v>
      </c>
      <c r="J15"/>
      <c r="K15"/>
      <c r="L15"/>
    </row>
    <row r="16" spans="1:29" x14ac:dyDescent="0.3">
      <c r="A16" s="4">
        <v>50000</v>
      </c>
      <c r="B16" s="2" t="s">
        <v>1</v>
      </c>
      <c r="C16" s="4">
        <v>8612233</v>
      </c>
      <c r="D16" s="3">
        <f t="shared" si="0"/>
        <v>8.6122329999999998</v>
      </c>
      <c r="E16" s="4">
        <v>718172</v>
      </c>
      <c r="F16" s="4">
        <v>1568928</v>
      </c>
      <c r="J16"/>
      <c r="K16"/>
      <c r="L16"/>
    </row>
    <row r="17" spans="1:12" x14ac:dyDescent="0.3">
      <c r="A17" s="4">
        <v>50000</v>
      </c>
      <c r="B17" s="2" t="s">
        <v>2</v>
      </c>
      <c r="C17" s="4">
        <v>4571433</v>
      </c>
      <c r="D17" s="3">
        <f t="shared" si="0"/>
        <v>4.5714329999999999</v>
      </c>
      <c r="E17" s="4">
        <v>451145</v>
      </c>
      <c r="F17" s="4">
        <v>602294</v>
      </c>
      <c r="J17"/>
      <c r="K17"/>
      <c r="L17"/>
    </row>
    <row r="18" spans="1:12" x14ac:dyDescent="0.3">
      <c r="A18" s="4">
        <v>100000</v>
      </c>
      <c r="B18" s="2" t="s">
        <v>0</v>
      </c>
      <c r="C18" s="4">
        <v>466800</v>
      </c>
      <c r="D18" s="3">
        <f t="shared" si="0"/>
        <v>0.46679999999999999</v>
      </c>
      <c r="E18" s="4">
        <v>199998</v>
      </c>
      <c r="F18" s="4">
        <v>301000</v>
      </c>
      <c r="J18"/>
      <c r="K18"/>
      <c r="L18"/>
    </row>
    <row r="19" spans="1:12" x14ac:dyDescent="0.3">
      <c r="A19" s="4">
        <v>100000</v>
      </c>
      <c r="B19" s="2" t="s">
        <v>3</v>
      </c>
      <c r="C19" s="4">
        <v>2195900900</v>
      </c>
      <c r="D19" s="3">
        <f t="shared" si="0"/>
        <v>2195.9009000000001</v>
      </c>
      <c r="E19" s="4">
        <v>2493769933</v>
      </c>
      <c r="F19" s="4">
        <v>2493769933</v>
      </c>
      <c r="J19"/>
      <c r="K19"/>
      <c r="L19"/>
    </row>
    <row r="20" spans="1:12" x14ac:dyDescent="0.3">
      <c r="A20" s="4">
        <v>100000</v>
      </c>
      <c r="B20" s="2" t="s">
        <v>1</v>
      </c>
      <c r="C20" s="4">
        <v>14820866</v>
      </c>
      <c r="D20" s="3">
        <f t="shared" si="0"/>
        <v>14.820866000000001</v>
      </c>
      <c r="E20" s="4">
        <v>1536133</v>
      </c>
      <c r="F20" s="4">
        <v>3337856</v>
      </c>
      <c r="J20"/>
      <c r="K20"/>
      <c r="L20"/>
    </row>
    <row r="21" spans="1:12" x14ac:dyDescent="0.3">
      <c r="A21" s="4">
        <v>100000</v>
      </c>
      <c r="B21" s="2" t="s">
        <v>2</v>
      </c>
      <c r="C21" s="4">
        <v>9110400</v>
      </c>
      <c r="D21" s="3">
        <f t="shared" si="0"/>
        <v>9.1104000000000003</v>
      </c>
      <c r="E21" s="4">
        <v>950272</v>
      </c>
      <c r="F21" s="4">
        <v>1300548</v>
      </c>
      <c r="J21"/>
      <c r="K21"/>
      <c r="L21"/>
    </row>
    <row r="22" spans="1:12" x14ac:dyDescent="0.3">
      <c r="A22" s="4">
        <v>500000</v>
      </c>
      <c r="B22" s="2" t="s">
        <v>0</v>
      </c>
      <c r="C22" s="4">
        <v>5311700</v>
      </c>
      <c r="D22" s="3">
        <f t="shared" si="0"/>
        <v>5.3117000000000001</v>
      </c>
      <c r="E22" s="4">
        <v>999998</v>
      </c>
      <c r="F22" s="4">
        <v>1501000</v>
      </c>
      <c r="J22"/>
      <c r="K22"/>
      <c r="L22"/>
    </row>
    <row r="23" spans="1:12" x14ac:dyDescent="0.3">
      <c r="A23" s="4">
        <v>500000</v>
      </c>
      <c r="B23" s="2" t="s">
        <v>3</v>
      </c>
      <c r="C23" s="4">
        <v>59899113666</v>
      </c>
      <c r="D23" s="3">
        <f t="shared" si="0"/>
        <v>59899.113665999997</v>
      </c>
      <c r="E23" s="4">
        <v>62457696397</v>
      </c>
      <c r="F23" s="4">
        <v>62457696397</v>
      </c>
    </row>
    <row r="24" spans="1:12" x14ac:dyDescent="0.3">
      <c r="A24" s="4">
        <v>500000</v>
      </c>
      <c r="B24" s="2" t="s">
        <v>1</v>
      </c>
      <c r="C24" s="4">
        <v>80896600</v>
      </c>
      <c r="D24" s="3">
        <f t="shared" si="0"/>
        <v>80.896600000000007</v>
      </c>
      <c r="E24" s="4">
        <v>8835557</v>
      </c>
      <c r="F24" s="4">
        <v>18951424</v>
      </c>
    </row>
    <row r="25" spans="1:12" x14ac:dyDescent="0.3">
      <c r="A25" s="4">
        <v>500000</v>
      </c>
      <c r="B25" s="2" t="s">
        <v>2</v>
      </c>
      <c r="C25" s="4">
        <v>45891100</v>
      </c>
      <c r="D25" s="3">
        <f t="shared" si="0"/>
        <v>45.891100000000002</v>
      </c>
      <c r="E25" s="4">
        <v>5325687</v>
      </c>
      <c r="F25" s="4">
        <v>7651378</v>
      </c>
    </row>
    <row r="26" spans="1:12" x14ac:dyDescent="0.3">
      <c r="A26" s="10">
        <v>1000000</v>
      </c>
      <c r="B26" s="2" t="s">
        <v>0</v>
      </c>
      <c r="C26" s="4">
        <v>11683900</v>
      </c>
      <c r="D26" s="3">
        <f t="shared" si="0"/>
        <v>11.6839</v>
      </c>
      <c r="E26" s="4">
        <v>1999998</v>
      </c>
      <c r="F26" s="4">
        <v>3001000</v>
      </c>
    </row>
    <row r="27" spans="1:12" x14ac:dyDescent="0.3">
      <c r="A27" s="10">
        <v>1000000</v>
      </c>
      <c r="B27" s="2" t="s">
        <v>1</v>
      </c>
      <c r="C27" s="4">
        <v>185468566</v>
      </c>
      <c r="D27" s="3">
        <f t="shared" si="0"/>
        <v>185.46856600000001</v>
      </c>
      <c r="E27" s="4">
        <v>18670251</v>
      </c>
      <c r="F27" s="4">
        <v>39902848</v>
      </c>
    </row>
    <row r="28" spans="1:12" x14ac:dyDescent="0.3">
      <c r="A28" s="10">
        <v>1000000</v>
      </c>
      <c r="B28" s="2" t="s">
        <v>2</v>
      </c>
      <c r="C28" s="4">
        <v>114640200</v>
      </c>
      <c r="D28" s="3">
        <f t="shared" si="0"/>
        <v>114.64019999999999</v>
      </c>
      <c r="E28" s="4">
        <v>11161850</v>
      </c>
      <c r="F28" s="4">
        <v>16323704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0FA8-3840-4B55-8D2D-051CA9BD9BFC}">
  <dimension ref="A1:AE29"/>
  <sheetViews>
    <sheetView workbookViewId="0">
      <selection sqref="A1:F1"/>
    </sheetView>
  </sheetViews>
  <sheetFormatPr defaultRowHeight="14.4" x14ac:dyDescent="0.3"/>
  <cols>
    <col min="1" max="1" width="17.109375" style="12" bestFit="1" customWidth="1"/>
    <col min="2" max="2" width="15.21875" style="12" customWidth="1"/>
    <col min="3" max="5" width="14" style="12" customWidth="1"/>
    <col min="6" max="6" width="14.88671875" style="12" customWidth="1"/>
    <col min="7" max="9" width="8.88671875" style="12"/>
    <col min="10" max="10" width="17.6640625" style="12" bestFit="1" customWidth="1"/>
    <col min="11" max="11" width="9.5546875" style="12" bestFit="1" customWidth="1"/>
    <col min="12" max="12" width="12.21875" style="12" bestFit="1" customWidth="1"/>
    <col min="13" max="13" width="10.109375" style="12" bestFit="1" customWidth="1"/>
    <col min="14" max="14" width="9.33203125" style="12" bestFit="1" customWidth="1"/>
    <col min="15" max="15" width="10.44140625" style="12" bestFit="1" customWidth="1"/>
    <col min="16" max="17" width="8.88671875" style="12"/>
    <col min="18" max="18" width="17.44140625" style="12" bestFit="1" customWidth="1"/>
    <col min="19" max="19" width="10.44140625" style="12" bestFit="1" customWidth="1"/>
    <col min="20" max="20" width="12.44140625" style="12" bestFit="1" customWidth="1"/>
    <col min="21" max="21" width="11.44140625" style="12" bestFit="1" customWidth="1"/>
    <col min="22" max="22" width="10.44140625" style="12" bestFit="1" customWidth="1"/>
    <col min="23" max="25" width="8.88671875" style="12"/>
    <col min="26" max="26" width="19.33203125" style="12" bestFit="1" customWidth="1"/>
    <col min="27" max="27" width="11.6640625" style="12" bestFit="1" customWidth="1"/>
    <col min="28" max="28" width="12.44140625" style="12" bestFit="1" customWidth="1"/>
    <col min="29" max="30" width="11.44140625" style="12" bestFit="1" customWidth="1"/>
    <col min="31" max="31" width="8.88671875" style="12"/>
  </cols>
  <sheetData>
    <row r="1" spans="1:30" x14ac:dyDescent="0.3">
      <c r="A1" s="7" t="s">
        <v>6</v>
      </c>
      <c r="B1" s="7" t="s">
        <v>7</v>
      </c>
      <c r="C1" s="7" t="s">
        <v>8</v>
      </c>
      <c r="D1" s="7" t="s">
        <v>11</v>
      </c>
      <c r="E1" s="7" t="s">
        <v>9</v>
      </c>
      <c r="F1" s="7" t="s">
        <v>10</v>
      </c>
      <c r="G1" s="7"/>
    </row>
    <row r="2" spans="1:30" x14ac:dyDescent="0.3">
      <c r="A2" s="14">
        <v>1000</v>
      </c>
      <c r="B2" s="7" t="s">
        <v>0</v>
      </c>
      <c r="C2" s="14">
        <v>161633</v>
      </c>
      <c r="D2" s="9">
        <f>C2/1000000</f>
        <v>0.161633</v>
      </c>
      <c r="E2" s="14">
        <v>1998</v>
      </c>
      <c r="F2" s="14">
        <v>3999</v>
      </c>
    </row>
    <row r="3" spans="1:30" x14ac:dyDescent="0.3">
      <c r="A3" s="14">
        <v>1000</v>
      </c>
      <c r="B3" s="7" t="s">
        <v>3</v>
      </c>
      <c r="C3" s="14">
        <v>57400</v>
      </c>
      <c r="D3" s="9">
        <f t="shared" ref="D3:D29" si="0">C3/1000000</f>
        <v>5.74E-2</v>
      </c>
      <c r="E3" s="14">
        <v>999</v>
      </c>
      <c r="F3" s="14">
        <v>999</v>
      </c>
    </row>
    <row r="4" spans="1:30" x14ac:dyDescent="0.3">
      <c r="A4" s="14">
        <v>1000</v>
      </c>
      <c r="B4" s="7" t="s">
        <v>1</v>
      </c>
      <c r="C4" s="14">
        <v>426433</v>
      </c>
      <c r="D4" s="9">
        <f t="shared" si="0"/>
        <v>0.42643300000000001</v>
      </c>
      <c r="E4" s="14">
        <v>5044</v>
      </c>
      <c r="F4" s="14">
        <v>19952</v>
      </c>
      <c r="J4" s="6" t="s">
        <v>16</v>
      </c>
      <c r="K4" s="6" t="s">
        <v>7</v>
      </c>
      <c r="L4" s="7"/>
      <c r="M4" s="7"/>
      <c r="N4" s="7"/>
      <c r="O4"/>
      <c r="R4" s="1" t="s">
        <v>17</v>
      </c>
      <c r="S4" s="1" t="s">
        <v>7</v>
      </c>
      <c r="T4"/>
      <c r="U4"/>
      <c r="V4"/>
      <c r="Z4" s="1" t="s">
        <v>18</v>
      </c>
      <c r="AA4" s="1" t="s">
        <v>7</v>
      </c>
      <c r="AB4"/>
      <c r="AC4"/>
      <c r="AD4"/>
    </row>
    <row r="5" spans="1:30" x14ac:dyDescent="0.3">
      <c r="A5" s="14">
        <v>1000</v>
      </c>
      <c r="B5" s="7" t="s">
        <v>2</v>
      </c>
      <c r="C5" s="14">
        <v>97266</v>
      </c>
      <c r="D5" s="9">
        <f t="shared" si="0"/>
        <v>9.7266000000000005E-2</v>
      </c>
      <c r="E5" s="14">
        <v>5099</v>
      </c>
      <c r="F5" s="14">
        <v>4202</v>
      </c>
      <c r="J5" s="6" t="s">
        <v>6</v>
      </c>
      <c r="K5" s="7" t="s">
        <v>0</v>
      </c>
      <c r="L5" s="7" t="s">
        <v>3</v>
      </c>
      <c r="M5" s="7" t="s">
        <v>1</v>
      </c>
      <c r="N5" s="7" t="s">
        <v>2</v>
      </c>
      <c r="O5"/>
      <c r="R5" s="1" t="s">
        <v>6</v>
      </c>
      <c r="S5" t="s">
        <v>0</v>
      </c>
      <c r="T5" t="s">
        <v>3</v>
      </c>
      <c r="U5" t="s">
        <v>1</v>
      </c>
      <c r="V5" t="s">
        <v>2</v>
      </c>
      <c r="Z5" s="1" t="s">
        <v>6</v>
      </c>
      <c r="AA5" t="s">
        <v>0</v>
      </c>
      <c r="AB5" t="s">
        <v>3</v>
      </c>
      <c r="AC5" t="s">
        <v>1</v>
      </c>
      <c r="AD5" t="s">
        <v>2</v>
      </c>
    </row>
    <row r="6" spans="1:30" x14ac:dyDescent="0.3">
      <c r="A6" s="14">
        <v>5000</v>
      </c>
      <c r="B6" s="7" t="s">
        <v>0</v>
      </c>
      <c r="C6" s="14">
        <v>546733</v>
      </c>
      <c r="D6" s="9">
        <f t="shared" si="0"/>
        <v>0.54673300000000002</v>
      </c>
      <c r="E6" s="14">
        <v>9998</v>
      </c>
      <c r="F6" s="14">
        <v>16000</v>
      </c>
      <c r="J6" s="8">
        <v>1000</v>
      </c>
      <c r="K6" s="9">
        <v>0.161633</v>
      </c>
      <c r="L6" s="9">
        <v>5.74E-2</v>
      </c>
      <c r="M6" s="9">
        <v>0.42643300000000001</v>
      </c>
      <c r="N6" s="9">
        <v>9.7266000000000005E-2</v>
      </c>
      <c r="O6"/>
      <c r="R6" s="5">
        <v>1000</v>
      </c>
      <c r="S6" s="11">
        <v>1998</v>
      </c>
      <c r="T6" s="11">
        <v>999</v>
      </c>
      <c r="U6" s="11">
        <v>5044</v>
      </c>
      <c r="V6" s="11">
        <v>5099</v>
      </c>
      <c r="Z6" s="5">
        <v>1000</v>
      </c>
      <c r="AA6" s="11">
        <v>3999</v>
      </c>
      <c r="AB6" s="11">
        <v>999</v>
      </c>
      <c r="AC6" s="11">
        <v>19952</v>
      </c>
      <c r="AD6" s="11">
        <v>4202</v>
      </c>
    </row>
    <row r="7" spans="1:30" x14ac:dyDescent="0.3">
      <c r="A7" s="14">
        <v>5000</v>
      </c>
      <c r="B7" s="7" t="s">
        <v>3</v>
      </c>
      <c r="C7" s="14">
        <v>245400</v>
      </c>
      <c r="D7" s="9">
        <f t="shared" si="0"/>
        <v>0.24540000000000001</v>
      </c>
      <c r="E7" s="14">
        <v>4999</v>
      </c>
      <c r="F7" s="14">
        <v>4999</v>
      </c>
      <c r="J7" s="8">
        <v>5000</v>
      </c>
      <c r="K7" s="9">
        <v>0.54673300000000002</v>
      </c>
      <c r="L7" s="9">
        <v>0.24540000000000001</v>
      </c>
      <c r="M7" s="9">
        <v>0.254133</v>
      </c>
      <c r="N7" s="9">
        <v>0.2029</v>
      </c>
      <c r="O7"/>
      <c r="R7" s="5">
        <v>5000</v>
      </c>
      <c r="S7" s="11">
        <v>9998</v>
      </c>
      <c r="T7" s="11">
        <v>4999</v>
      </c>
      <c r="U7" s="11">
        <v>32004</v>
      </c>
      <c r="V7" s="11">
        <v>27408</v>
      </c>
      <c r="Z7" s="5">
        <v>5000</v>
      </c>
      <c r="AA7" s="11">
        <v>16000</v>
      </c>
      <c r="AB7" s="11">
        <v>4999</v>
      </c>
      <c r="AC7" s="11">
        <v>123616</v>
      </c>
      <c r="AD7" s="11">
        <v>24821</v>
      </c>
    </row>
    <row r="8" spans="1:30" x14ac:dyDescent="0.3">
      <c r="A8" s="14">
        <v>5000</v>
      </c>
      <c r="B8" s="7" t="s">
        <v>1</v>
      </c>
      <c r="C8" s="14">
        <v>254133</v>
      </c>
      <c r="D8" s="9">
        <f t="shared" si="0"/>
        <v>0.254133</v>
      </c>
      <c r="E8" s="14">
        <v>32004</v>
      </c>
      <c r="F8" s="14">
        <v>123616</v>
      </c>
      <c r="J8" s="8">
        <v>10000</v>
      </c>
      <c r="K8" s="9">
        <v>0.50739999999999996</v>
      </c>
      <c r="L8" s="9">
        <v>0.50533300000000003</v>
      </c>
      <c r="M8" s="9">
        <v>0.553566</v>
      </c>
      <c r="N8" s="9">
        <v>0.36323299999999997</v>
      </c>
      <c r="O8"/>
      <c r="R8" s="5">
        <v>10000</v>
      </c>
      <c r="S8" s="11">
        <v>19998</v>
      </c>
      <c r="T8" s="11">
        <v>9999</v>
      </c>
      <c r="U8" s="11">
        <v>69008</v>
      </c>
      <c r="V8" s="11">
        <v>57865</v>
      </c>
      <c r="Z8" s="5">
        <v>10000</v>
      </c>
      <c r="AA8" s="11">
        <v>31000</v>
      </c>
      <c r="AB8" s="11">
        <v>9999</v>
      </c>
      <c r="AC8" s="11">
        <v>267232</v>
      </c>
      <c r="AD8" s="11">
        <v>55735</v>
      </c>
    </row>
    <row r="9" spans="1:30" x14ac:dyDescent="0.3">
      <c r="A9" s="14">
        <v>5000</v>
      </c>
      <c r="B9" s="7" t="s">
        <v>2</v>
      </c>
      <c r="C9" s="14">
        <v>202900</v>
      </c>
      <c r="D9" s="9">
        <f t="shared" si="0"/>
        <v>0.2029</v>
      </c>
      <c r="E9" s="14">
        <v>27408</v>
      </c>
      <c r="F9" s="14">
        <v>24821</v>
      </c>
      <c r="J9" s="8">
        <v>50000</v>
      </c>
      <c r="K9" s="9">
        <v>0.46993299999999999</v>
      </c>
      <c r="L9" s="9">
        <v>0.59150000000000003</v>
      </c>
      <c r="M9" s="9">
        <v>4.3993330000000004</v>
      </c>
      <c r="N9" s="9">
        <v>1.710466</v>
      </c>
      <c r="O9"/>
      <c r="R9" s="5">
        <v>50000</v>
      </c>
      <c r="S9" s="11">
        <v>99998</v>
      </c>
      <c r="T9" s="11">
        <v>49999</v>
      </c>
      <c r="U9" s="11">
        <v>401952</v>
      </c>
      <c r="V9" s="11">
        <v>337169</v>
      </c>
      <c r="Z9" s="5">
        <v>50000</v>
      </c>
      <c r="AA9" s="11">
        <v>151000</v>
      </c>
      <c r="AB9" s="11">
        <v>49999</v>
      </c>
      <c r="AC9" s="11">
        <v>1568928</v>
      </c>
      <c r="AD9" s="11">
        <v>374342</v>
      </c>
    </row>
    <row r="10" spans="1:30" x14ac:dyDescent="0.3">
      <c r="A10" s="14">
        <v>10000</v>
      </c>
      <c r="B10" s="7" t="s">
        <v>0</v>
      </c>
      <c r="C10" s="14">
        <v>507400</v>
      </c>
      <c r="D10" s="9">
        <f t="shared" si="0"/>
        <v>0.50739999999999996</v>
      </c>
      <c r="E10" s="14">
        <v>19998</v>
      </c>
      <c r="F10" s="14">
        <v>31000</v>
      </c>
      <c r="J10" s="8">
        <v>100000</v>
      </c>
      <c r="K10" s="9">
        <v>0.54666599999999999</v>
      </c>
      <c r="L10" s="9">
        <v>4.5266000000000001E-2</v>
      </c>
      <c r="M10" s="9">
        <v>4.7490329999999998</v>
      </c>
      <c r="N10" s="9">
        <v>3.4878330000000002</v>
      </c>
      <c r="O10"/>
      <c r="R10" s="5">
        <v>100000</v>
      </c>
      <c r="S10" s="11">
        <v>199998</v>
      </c>
      <c r="T10" s="11">
        <v>99999</v>
      </c>
      <c r="U10" s="11">
        <v>853904</v>
      </c>
      <c r="V10" s="11">
        <v>720219</v>
      </c>
      <c r="Z10" s="5">
        <v>100000</v>
      </c>
      <c r="AA10" s="11">
        <v>301000</v>
      </c>
      <c r="AB10" s="11">
        <v>99999</v>
      </c>
      <c r="AC10" s="11">
        <v>3337856</v>
      </c>
      <c r="AD10" s="11">
        <v>840442</v>
      </c>
    </row>
    <row r="11" spans="1:30" x14ac:dyDescent="0.3">
      <c r="A11" s="14">
        <v>10000</v>
      </c>
      <c r="B11" s="7" t="s">
        <v>3</v>
      </c>
      <c r="C11" s="14">
        <v>505333</v>
      </c>
      <c r="D11" s="9">
        <f t="shared" si="0"/>
        <v>0.50533300000000003</v>
      </c>
      <c r="E11" s="14">
        <v>9999</v>
      </c>
      <c r="F11" s="14">
        <v>9999</v>
      </c>
      <c r="J11" s="8">
        <v>500000</v>
      </c>
      <c r="K11" s="9">
        <v>4.2848660000000001</v>
      </c>
      <c r="L11" s="9">
        <v>0.30399999999999999</v>
      </c>
      <c r="M11" s="9">
        <v>30.029333000000001</v>
      </c>
      <c r="N11" s="9">
        <v>26.627433</v>
      </c>
      <c r="O11"/>
      <c r="R11" s="5">
        <v>500000</v>
      </c>
      <c r="S11" s="11">
        <v>999998</v>
      </c>
      <c r="T11" s="11">
        <v>499999</v>
      </c>
      <c r="U11" s="11">
        <v>4783216</v>
      </c>
      <c r="V11" s="11">
        <v>4210650</v>
      </c>
      <c r="Z11" s="5">
        <v>500000</v>
      </c>
      <c r="AA11" s="11">
        <v>1501000</v>
      </c>
      <c r="AB11" s="11">
        <v>499999</v>
      </c>
      <c r="AC11" s="11">
        <v>18951424</v>
      </c>
      <c r="AD11" s="11">
        <v>5421304</v>
      </c>
    </row>
    <row r="12" spans="1:30" x14ac:dyDescent="0.3">
      <c r="A12" s="14">
        <v>10000</v>
      </c>
      <c r="B12" s="7" t="s">
        <v>1</v>
      </c>
      <c r="C12" s="14">
        <v>553566</v>
      </c>
      <c r="D12" s="9">
        <f t="shared" si="0"/>
        <v>0.553566</v>
      </c>
      <c r="E12" s="14">
        <v>69008</v>
      </c>
      <c r="F12" s="14">
        <v>267232</v>
      </c>
      <c r="J12" s="8">
        <v>1000000</v>
      </c>
      <c r="K12" s="9">
        <v>6.8485329999999998</v>
      </c>
      <c r="L12" s="9">
        <v>0.42516599999999999</v>
      </c>
      <c r="M12" s="9">
        <v>61.244833</v>
      </c>
      <c r="N12" s="9">
        <v>49.8489</v>
      </c>
      <c r="O12"/>
      <c r="R12" s="5">
        <v>1000000</v>
      </c>
      <c r="S12" s="11">
        <v>1999998</v>
      </c>
      <c r="T12" s="11">
        <v>999999</v>
      </c>
      <c r="U12" s="11">
        <v>10066432</v>
      </c>
      <c r="V12" s="11">
        <v>8928606</v>
      </c>
      <c r="Z12" s="5">
        <v>1000000</v>
      </c>
      <c r="AA12" s="11">
        <v>3001000</v>
      </c>
      <c r="AB12" s="11">
        <v>999999</v>
      </c>
      <c r="AC12" s="11">
        <v>39902848</v>
      </c>
      <c r="AD12" s="11">
        <v>11857216</v>
      </c>
    </row>
    <row r="13" spans="1:30" x14ac:dyDescent="0.3">
      <c r="A13" s="14">
        <v>10000</v>
      </c>
      <c r="B13" s="7" t="s">
        <v>2</v>
      </c>
      <c r="C13" s="14">
        <v>363233</v>
      </c>
      <c r="D13" s="9">
        <f t="shared" si="0"/>
        <v>0.36323299999999997</v>
      </c>
      <c r="E13" s="14">
        <v>57865</v>
      </c>
      <c r="F13" s="14">
        <v>55735</v>
      </c>
      <c r="J13"/>
      <c r="K13"/>
      <c r="L13"/>
      <c r="M13"/>
      <c r="N13"/>
      <c r="O13"/>
    </row>
    <row r="14" spans="1:30" x14ac:dyDescent="0.3">
      <c r="A14" s="14">
        <v>50000</v>
      </c>
      <c r="B14" s="7" t="s">
        <v>0</v>
      </c>
      <c r="C14" s="14">
        <v>469933</v>
      </c>
      <c r="D14" s="9">
        <f t="shared" si="0"/>
        <v>0.46993299999999999</v>
      </c>
      <c r="E14" s="14">
        <v>99998</v>
      </c>
      <c r="F14" s="14">
        <v>151000</v>
      </c>
      <c r="J14"/>
      <c r="K14"/>
      <c r="L14"/>
    </row>
    <row r="15" spans="1:30" x14ac:dyDescent="0.3">
      <c r="A15" s="14">
        <v>50000</v>
      </c>
      <c r="B15" s="7" t="s">
        <v>3</v>
      </c>
      <c r="C15" s="14">
        <v>591500</v>
      </c>
      <c r="D15" s="9">
        <f t="shared" si="0"/>
        <v>0.59150000000000003</v>
      </c>
      <c r="E15" s="14">
        <v>49999</v>
      </c>
      <c r="F15" s="14">
        <v>49999</v>
      </c>
      <c r="J15"/>
      <c r="K15"/>
      <c r="L15"/>
    </row>
    <row r="16" spans="1:30" x14ac:dyDescent="0.3">
      <c r="A16" s="14">
        <v>50000</v>
      </c>
      <c r="B16" s="7" t="s">
        <v>1</v>
      </c>
      <c r="C16" s="14">
        <v>4399333</v>
      </c>
      <c r="D16" s="9">
        <f t="shared" si="0"/>
        <v>4.3993330000000004</v>
      </c>
      <c r="E16" s="14">
        <v>401952</v>
      </c>
      <c r="F16" s="14">
        <v>1568928</v>
      </c>
      <c r="J16"/>
      <c r="K16"/>
      <c r="L16"/>
    </row>
    <row r="17" spans="1:12" x14ac:dyDescent="0.3">
      <c r="A17" s="14">
        <v>50000</v>
      </c>
      <c r="B17" s="7" t="s">
        <v>2</v>
      </c>
      <c r="C17" s="14">
        <v>1710466</v>
      </c>
      <c r="D17" s="9">
        <f t="shared" si="0"/>
        <v>1.710466</v>
      </c>
      <c r="E17" s="14">
        <v>337169</v>
      </c>
      <c r="F17" s="14">
        <v>374342</v>
      </c>
      <c r="J17"/>
      <c r="K17"/>
      <c r="L17"/>
    </row>
    <row r="18" spans="1:12" x14ac:dyDescent="0.3">
      <c r="A18" s="14">
        <v>100000</v>
      </c>
      <c r="B18" s="7" t="s">
        <v>0</v>
      </c>
      <c r="C18" s="14">
        <v>546666</v>
      </c>
      <c r="D18" s="9">
        <f t="shared" si="0"/>
        <v>0.54666599999999999</v>
      </c>
      <c r="E18" s="14">
        <v>199998</v>
      </c>
      <c r="F18" s="14">
        <v>301000</v>
      </c>
      <c r="J18"/>
      <c r="K18"/>
      <c r="L18"/>
    </row>
    <row r="19" spans="1:12" x14ac:dyDescent="0.3">
      <c r="A19" s="14">
        <v>100000</v>
      </c>
      <c r="B19" s="7" t="s">
        <v>3</v>
      </c>
      <c r="C19" s="14">
        <v>45266</v>
      </c>
      <c r="D19" s="9">
        <f t="shared" si="0"/>
        <v>4.5266000000000001E-2</v>
      </c>
      <c r="E19" s="14">
        <v>99999</v>
      </c>
      <c r="F19" s="14">
        <v>99999</v>
      </c>
      <c r="J19"/>
      <c r="K19"/>
      <c r="L19"/>
    </row>
    <row r="20" spans="1:12" x14ac:dyDescent="0.3">
      <c r="A20" s="14">
        <v>100000</v>
      </c>
      <c r="B20" s="7" t="s">
        <v>1</v>
      </c>
      <c r="C20" s="14">
        <v>4749033</v>
      </c>
      <c r="D20" s="9">
        <f t="shared" si="0"/>
        <v>4.7490329999999998</v>
      </c>
      <c r="E20" s="14">
        <v>853904</v>
      </c>
      <c r="F20" s="14">
        <v>3337856</v>
      </c>
      <c r="J20"/>
      <c r="K20"/>
      <c r="L20"/>
    </row>
    <row r="21" spans="1:12" x14ac:dyDescent="0.3">
      <c r="A21" s="14">
        <v>100000</v>
      </c>
      <c r="B21" s="7" t="s">
        <v>2</v>
      </c>
      <c r="C21" s="14">
        <v>3487833</v>
      </c>
      <c r="D21" s="9">
        <f t="shared" si="0"/>
        <v>3.4878330000000002</v>
      </c>
      <c r="E21" s="14">
        <v>720219</v>
      </c>
      <c r="F21" s="14">
        <v>840442</v>
      </c>
      <c r="J21"/>
      <c r="K21"/>
      <c r="L21"/>
    </row>
    <row r="22" spans="1:12" x14ac:dyDescent="0.3">
      <c r="A22" s="14">
        <v>500000</v>
      </c>
      <c r="B22" s="7" t="s">
        <v>0</v>
      </c>
      <c r="C22" s="14">
        <v>4284866</v>
      </c>
      <c r="D22" s="9">
        <f t="shared" si="0"/>
        <v>4.2848660000000001</v>
      </c>
      <c r="E22" s="14">
        <v>999998</v>
      </c>
      <c r="F22" s="14">
        <v>1501000</v>
      </c>
    </row>
    <row r="23" spans="1:12" x14ac:dyDescent="0.3">
      <c r="A23" s="14">
        <v>500000</v>
      </c>
      <c r="B23" s="7" t="s">
        <v>3</v>
      </c>
      <c r="C23" s="14">
        <v>304000</v>
      </c>
      <c r="D23" s="9">
        <f t="shared" si="0"/>
        <v>0.30399999999999999</v>
      </c>
      <c r="E23" s="14">
        <v>499999</v>
      </c>
      <c r="F23" s="14">
        <v>499999</v>
      </c>
    </row>
    <row r="24" spans="1:12" x14ac:dyDescent="0.3">
      <c r="A24" s="14">
        <v>500000</v>
      </c>
      <c r="B24" s="7" t="s">
        <v>1</v>
      </c>
      <c r="C24" s="14">
        <v>30029333</v>
      </c>
      <c r="D24" s="9">
        <f t="shared" si="0"/>
        <v>30.029333000000001</v>
      </c>
      <c r="E24" s="14">
        <v>4783216</v>
      </c>
      <c r="F24" s="14">
        <v>18951424</v>
      </c>
    </row>
    <row r="25" spans="1:12" x14ac:dyDescent="0.3">
      <c r="A25" s="14">
        <v>500000</v>
      </c>
      <c r="B25" s="7" t="s">
        <v>2</v>
      </c>
      <c r="C25" s="14">
        <v>26627433</v>
      </c>
      <c r="D25" s="9">
        <f t="shared" si="0"/>
        <v>26.627433</v>
      </c>
      <c r="E25" s="14">
        <v>4210650</v>
      </c>
      <c r="F25" s="14">
        <v>5421304</v>
      </c>
    </row>
    <row r="26" spans="1:12" x14ac:dyDescent="0.3">
      <c r="A26" s="14">
        <v>1000000</v>
      </c>
      <c r="B26" s="7" t="s">
        <v>0</v>
      </c>
      <c r="C26" s="14">
        <v>6848533</v>
      </c>
      <c r="D26" s="9">
        <f t="shared" si="0"/>
        <v>6.8485329999999998</v>
      </c>
      <c r="E26" s="14">
        <v>1999998</v>
      </c>
      <c r="F26" s="14">
        <v>3001000</v>
      </c>
    </row>
    <row r="27" spans="1:12" x14ac:dyDescent="0.3">
      <c r="A27" s="14">
        <v>1000000</v>
      </c>
      <c r="B27" s="7" t="s">
        <v>3</v>
      </c>
      <c r="C27" s="14">
        <v>425166</v>
      </c>
      <c r="D27" s="9">
        <f t="shared" si="0"/>
        <v>0.42516599999999999</v>
      </c>
      <c r="E27" s="14">
        <v>999999</v>
      </c>
      <c r="F27" s="14">
        <v>999999</v>
      </c>
    </row>
    <row r="28" spans="1:12" x14ac:dyDescent="0.3">
      <c r="A28" s="14">
        <v>1000000</v>
      </c>
      <c r="B28" s="7" t="s">
        <v>1</v>
      </c>
      <c r="C28" s="14">
        <v>61244833</v>
      </c>
      <c r="D28" s="9">
        <f t="shared" si="0"/>
        <v>61.244833</v>
      </c>
      <c r="E28" s="14">
        <v>10066432</v>
      </c>
      <c r="F28" s="14">
        <v>39902848</v>
      </c>
    </row>
    <row r="29" spans="1:12" x14ac:dyDescent="0.3">
      <c r="A29" s="14">
        <v>1000000</v>
      </c>
      <c r="B29" s="7" t="s">
        <v>2</v>
      </c>
      <c r="C29" s="14">
        <v>49848900</v>
      </c>
      <c r="D29" s="9">
        <f t="shared" si="0"/>
        <v>49.8489</v>
      </c>
      <c r="E29" s="14">
        <v>8928606</v>
      </c>
      <c r="F29" s="14">
        <v>11857216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5AAF-93C3-47E7-9290-F46FF3DE03CB}">
  <dimension ref="A1:AD28"/>
  <sheetViews>
    <sheetView tabSelected="1" topLeftCell="N1" zoomScale="110" zoomScaleNormal="110" workbookViewId="0">
      <selection activeCell="Y4" sqref="Y4"/>
    </sheetView>
  </sheetViews>
  <sheetFormatPr defaultRowHeight="14.4" x14ac:dyDescent="0.3"/>
  <cols>
    <col min="1" max="1" width="17.109375" style="7" bestFit="1" customWidth="1"/>
    <col min="2" max="2" width="15.77734375" style="7" bestFit="1" customWidth="1"/>
    <col min="3" max="3" width="17.6640625" style="7" bestFit="1" customWidth="1"/>
    <col min="4" max="4" width="11.77734375" style="7" bestFit="1" customWidth="1"/>
    <col min="5" max="6" width="17.6640625" style="7" bestFit="1" customWidth="1"/>
    <col min="7" max="9" width="8.88671875" style="7"/>
    <col min="10" max="10" width="18.44140625" style="7" bestFit="1" customWidth="1"/>
    <col min="11" max="11" width="12.33203125" style="7" bestFit="1" customWidth="1"/>
    <col min="12" max="12" width="9.88671875" style="7" bestFit="1" customWidth="1"/>
    <col min="13" max="14" width="9.6640625" style="7" bestFit="1" customWidth="1"/>
    <col min="15" max="15" width="10.44140625" style="7" bestFit="1" customWidth="1"/>
    <col min="16" max="16" width="10" style="7" bestFit="1" customWidth="1"/>
    <col min="17" max="17" width="12" style="7" bestFit="1" customWidth="1"/>
    <col min="18" max="18" width="23.33203125" style="7" bestFit="1" customWidth="1"/>
    <col min="19" max="19" width="12.33203125" style="7" bestFit="1" customWidth="1"/>
    <col min="20" max="20" width="9.88671875" style="7" bestFit="1" customWidth="1"/>
    <col min="21" max="22" width="9.6640625" style="7" bestFit="1" customWidth="1"/>
    <col min="23" max="26" width="8.88671875" style="7"/>
    <col min="27" max="27" width="24.88671875" style="7" bestFit="1" customWidth="1"/>
    <col min="28" max="28" width="12.33203125" style="7" bestFit="1" customWidth="1"/>
    <col min="29" max="29" width="9.88671875" bestFit="1" customWidth="1"/>
    <col min="30" max="31" width="9.6640625" bestFit="1" customWidth="1"/>
  </cols>
  <sheetData>
    <row r="1" spans="1:30" x14ac:dyDescent="0.3">
      <c r="A1" s="7" t="s">
        <v>6</v>
      </c>
      <c r="B1" s="7" t="s">
        <v>7</v>
      </c>
      <c r="C1" s="7" t="s">
        <v>8</v>
      </c>
      <c r="D1" s="7" t="s">
        <v>11</v>
      </c>
      <c r="E1" s="7" t="s">
        <v>9</v>
      </c>
      <c r="F1" s="7" t="s">
        <v>10</v>
      </c>
    </row>
    <row r="2" spans="1:30" x14ac:dyDescent="0.3">
      <c r="A2" s="21">
        <v>1000</v>
      </c>
      <c r="B2" s="18" t="s">
        <v>0</v>
      </c>
      <c r="C2" s="16">
        <v>152700</v>
      </c>
      <c r="D2" s="17">
        <f>C2/1000000</f>
        <v>0.1527</v>
      </c>
      <c r="E2" s="16">
        <v>1998</v>
      </c>
      <c r="F2" s="16">
        <v>3998</v>
      </c>
    </row>
    <row r="3" spans="1:30" x14ac:dyDescent="0.3">
      <c r="A3" s="21">
        <v>1000</v>
      </c>
      <c r="B3" s="18" t="s">
        <v>3</v>
      </c>
      <c r="C3" s="16">
        <v>3852700</v>
      </c>
      <c r="D3" s="17">
        <f t="shared" ref="D3:D28" si="0">C3/1000000</f>
        <v>3.8527</v>
      </c>
      <c r="E3" s="16">
        <v>500005</v>
      </c>
      <c r="F3" s="16">
        <v>500005</v>
      </c>
    </row>
    <row r="4" spans="1:30" x14ac:dyDescent="0.3">
      <c r="A4" s="21">
        <v>1000</v>
      </c>
      <c r="B4" s="18" t="s">
        <v>1</v>
      </c>
      <c r="C4" s="16">
        <v>433833</v>
      </c>
      <c r="D4" s="17">
        <f t="shared" si="0"/>
        <v>0.43383300000000002</v>
      </c>
      <c r="E4" s="16">
        <v>5142</v>
      </c>
      <c r="F4" s="16">
        <v>19952</v>
      </c>
      <c r="J4" s="1" t="s">
        <v>16</v>
      </c>
      <c r="K4" s="1" t="s">
        <v>13</v>
      </c>
      <c r="L4"/>
      <c r="M4"/>
      <c r="N4"/>
      <c r="O4"/>
      <c r="P4"/>
      <c r="Q4"/>
      <c r="R4" s="1" t="s">
        <v>19</v>
      </c>
      <c r="S4" s="1" t="s">
        <v>13</v>
      </c>
      <c r="T4"/>
      <c r="U4"/>
      <c r="V4"/>
      <c r="AA4" s="1" t="s">
        <v>20</v>
      </c>
      <c r="AB4" s="1" t="s">
        <v>13</v>
      </c>
    </row>
    <row r="5" spans="1:30" x14ac:dyDescent="0.3">
      <c r="A5" s="21">
        <v>1000</v>
      </c>
      <c r="B5" s="18" t="s">
        <v>2</v>
      </c>
      <c r="C5" s="16">
        <v>229633</v>
      </c>
      <c r="D5" s="17">
        <f t="shared" si="0"/>
        <v>0.229633</v>
      </c>
      <c r="E5" s="16">
        <v>5584</v>
      </c>
      <c r="F5" s="16">
        <v>5172</v>
      </c>
      <c r="J5" s="1" t="s">
        <v>6</v>
      </c>
      <c r="K5" t="s">
        <v>0</v>
      </c>
      <c r="L5" t="s">
        <v>1</v>
      </c>
      <c r="M5" t="s">
        <v>2</v>
      </c>
      <c r="N5"/>
      <c r="O5"/>
      <c r="P5"/>
      <c r="Q5"/>
      <c r="R5" s="1" t="s">
        <v>6</v>
      </c>
      <c r="S5" t="s">
        <v>0</v>
      </c>
      <c r="T5" t="s">
        <v>1</v>
      </c>
      <c r="U5" t="s">
        <v>2</v>
      </c>
      <c r="V5"/>
      <c r="AA5" s="1" t="s">
        <v>6</v>
      </c>
      <c r="AB5" t="s">
        <v>0</v>
      </c>
      <c r="AC5" t="s">
        <v>1</v>
      </c>
      <c r="AD5" t="s">
        <v>2</v>
      </c>
    </row>
    <row r="6" spans="1:30" x14ac:dyDescent="0.3">
      <c r="A6" s="21">
        <v>5000</v>
      </c>
      <c r="B6" s="18" t="s">
        <v>0</v>
      </c>
      <c r="C6" s="16">
        <v>878033</v>
      </c>
      <c r="D6" s="17">
        <f t="shared" si="0"/>
        <v>0.87803299999999995</v>
      </c>
      <c r="E6" s="16">
        <v>9998</v>
      </c>
      <c r="F6" s="16">
        <v>16000</v>
      </c>
      <c r="J6" s="5">
        <v>1000</v>
      </c>
      <c r="K6" s="15">
        <v>0.1527</v>
      </c>
      <c r="L6" s="15">
        <v>0.43383300000000002</v>
      </c>
      <c r="M6" s="15">
        <v>0.229633</v>
      </c>
      <c r="N6"/>
      <c r="O6"/>
      <c r="P6"/>
      <c r="Q6"/>
      <c r="R6" s="5">
        <v>1000</v>
      </c>
      <c r="S6" s="20">
        <v>1998</v>
      </c>
      <c r="T6" s="20">
        <v>5142</v>
      </c>
      <c r="U6" s="20">
        <v>5584</v>
      </c>
      <c r="V6"/>
      <c r="AA6" s="5">
        <v>1000</v>
      </c>
      <c r="AB6" s="20">
        <v>3998</v>
      </c>
      <c r="AC6" s="20">
        <v>19952</v>
      </c>
      <c r="AD6" s="20">
        <v>5172</v>
      </c>
    </row>
    <row r="7" spans="1:30" x14ac:dyDescent="0.3">
      <c r="A7" s="21">
        <v>5000</v>
      </c>
      <c r="B7" s="18" t="s">
        <v>3</v>
      </c>
      <c r="C7" s="16">
        <v>17504700</v>
      </c>
      <c r="D7" s="17">
        <f t="shared" si="0"/>
        <v>17.5047</v>
      </c>
      <c r="E7" s="16">
        <v>12490062</v>
      </c>
      <c r="F7" s="16">
        <v>12490062</v>
      </c>
      <c r="J7" s="5">
        <v>5000</v>
      </c>
      <c r="K7" s="15">
        <v>0.87803299999999995</v>
      </c>
      <c r="L7" s="15">
        <v>0.33700000000000002</v>
      </c>
      <c r="M7" s="15">
        <v>0.20849999999999999</v>
      </c>
      <c r="N7"/>
      <c r="O7"/>
      <c r="P7"/>
      <c r="Q7"/>
      <c r="R7" s="5">
        <v>5000</v>
      </c>
      <c r="S7" s="20">
        <v>9998</v>
      </c>
      <c r="T7" s="20">
        <v>33884</v>
      </c>
      <c r="U7" s="20">
        <v>29896</v>
      </c>
      <c r="V7"/>
      <c r="AA7" s="5">
        <v>5000</v>
      </c>
      <c r="AB7" s="20">
        <v>16000</v>
      </c>
      <c r="AC7" s="20">
        <v>123616</v>
      </c>
      <c r="AD7" s="20">
        <v>29797</v>
      </c>
    </row>
    <row r="8" spans="1:30" x14ac:dyDescent="0.3">
      <c r="A8" s="21">
        <v>5000</v>
      </c>
      <c r="B8" s="18" t="s">
        <v>1</v>
      </c>
      <c r="C8" s="16">
        <v>337000</v>
      </c>
      <c r="D8" s="17">
        <f t="shared" si="0"/>
        <v>0.33700000000000002</v>
      </c>
      <c r="E8" s="16">
        <v>33884</v>
      </c>
      <c r="F8" s="16">
        <v>123616</v>
      </c>
      <c r="J8" s="5">
        <v>10000</v>
      </c>
      <c r="K8" s="15">
        <v>0.51453300000000002</v>
      </c>
      <c r="L8" s="15">
        <v>0.57883300000000004</v>
      </c>
      <c r="M8" s="15">
        <v>0.37026599999999998</v>
      </c>
      <c r="N8"/>
      <c r="O8"/>
      <c r="P8"/>
      <c r="Q8"/>
      <c r="R8" s="5">
        <v>10000</v>
      </c>
      <c r="S8" s="20">
        <v>19998</v>
      </c>
      <c r="T8" s="20">
        <v>75091</v>
      </c>
      <c r="U8" s="20">
        <v>62865</v>
      </c>
      <c r="V8"/>
      <c r="AA8" s="5">
        <v>10000</v>
      </c>
      <c r="AB8" s="20">
        <v>31000</v>
      </c>
      <c r="AC8" s="20">
        <v>267232</v>
      </c>
      <c r="AD8" s="20">
        <v>65735</v>
      </c>
    </row>
    <row r="9" spans="1:30" x14ac:dyDescent="0.3">
      <c r="A9" s="21">
        <v>5000</v>
      </c>
      <c r="B9" s="18" t="s">
        <v>2</v>
      </c>
      <c r="C9" s="16">
        <v>208500</v>
      </c>
      <c r="D9" s="17">
        <f t="shared" si="0"/>
        <v>0.20849999999999999</v>
      </c>
      <c r="E9" s="16">
        <v>29896</v>
      </c>
      <c r="F9" s="16">
        <v>29797</v>
      </c>
      <c r="J9" s="5">
        <v>50000</v>
      </c>
      <c r="K9" s="15">
        <v>0.39476600000000001</v>
      </c>
      <c r="L9" s="15">
        <v>3.8638330000000001</v>
      </c>
      <c r="M9" s="15">
        <v>1.656833</v>
      </c>
      <c r="N9"/>
      <c r="O9"/>
      <c r="P9"/>
      <c r="Q9"/>
      <c r="R9" s="5">
        <v>50000</v>
      </c>
      <c r="S9" s="20">
        <v>99998</v>
      </c>
      <c r="T9" s="20">
        <v>447345</v>
      </c>
      <c r="U9" s="20">
        <v>362149</v>
      </c>
      <c r="V9"/>
      <c r="AA9" s="5">
        <v>50000</v>
      </c>
      <c r="AB9" s="20">
        <v>151000</v>
      </c>
      <c r="AC9" s="20">
        <v>1568928</v>
      </c>
      <c r="AD9" s="20">
        <v>424303</v>
      </c>
    </row>
    <row r="10" spans="1:30" x14ac:dyDescent="0.3">
      <c r="A10" s="21">
        <v>10000</v>
      </c>
      <c r="B10" s="18" t="s">
        <v>0</v>
      </c>
      <c r="C10" s="16">
        <v>514533</v>
      </c>
      <c r="D10" s="17">
        <f t="shared" si="0"/>
        <v>0.51453300000000002</v>
      </c>
      <c r="E10" s="16">
        <v>19998</v>
      </c>
      <c r="F10" s="16">
        <v>31000</v>
      </c>
      <c r="J10" s="5">
        <v>100000</v>
      </c>
      <c r="K10" s="15">
        <v>0.82509999999999994</v>
      </c>
      <c r="L10" s="15">
        <v>6.6309659999999999</v>
      </c>
      <c r="M10" s="15">
        <v>3.3552330000000001</v>
      </c>
      <c r="N10"/>
      <c r="O10"/>
      <c r="P10"/>
      <c r="Q10"/>
      <c r="R10" s="5">
        <v>100000</v>
      </c>
      <c r="S10" s="20">
        <v>199998</v>
      </c>
      <c r="T10" s="20">
        <v>945717</v>
      </c>
      <c r="U10" s="20">
        <v>770141</v>
      </c>
      <c r="V10"/>
      <c r="AA10" s="5">
        <v>100000</v>
      </c>
      <c r="AB10" s="20">
        <v>301000</v>
      </c>
      <c r="AC10" s="20">
        <v>3337856</v>
      </c>
      <c r="AD10" s="20">
        <v>940286</v>
      </c>
    </row>
    <row r="11" spans="1:30" x14ac:dyDescent="0.3">
      <c r="A11" s="21">
        <v>10000</v>
      </c>
      <c r="B11" s="18" t="s">
        <v>3</v>
      </c>
      <c r="C11" s="16">
        <v>51812333</v>
      </c>
      <c r="D11" s="17">
        <f t="shared" si="0"/>
        <v>51.812333000000002</v>
      </c>
      <c r="E11" s="16">
        <v>49954867</v>
      </c>
      <c r="F11" s="16">
        <v>49954867</v>
      </c>
      <c r="J11" s="5">
        <v>500000</v>
      </c>
      <c r="K11" s="15">
        <v>15.816966000000001</v>
      </c>
      <c r="L11" s="15">
        <v>93.849232999999998</v>
      </c>
      <c r="M11" s="15">
        <v>43.577100000000002</v>
      </c>
      <c r="N11"/>
      <c r="O11"/>
      <c r="P11"/>
      <c r="Q11"/>
      <c r="R11" s="5">
        <v>500000</v>
      </c>
      <c r="S11" s="20">
        <v>999998</v>
      </c>
      <c r="T11" s="20">
        <v>5275474</v>
      </c>
      <c r="U11" s="20">
        <v>4460766</v>
      </c>
      <c r="V11"/>
      <c r="AA11" s="5">
        <v>500000</v>
      </c>
      <c r="AB11" s="20">
        <v>1501000</v>
      </c>
      <c r="AC11" s="20">
        <v>18951424</v>
      </c>
      <c r="AD11" s="20">
        <v>5921536</v>
      </c>
    </row>
    <row r="12" spans="1:30" x14ac:dyDescent="0.3">
      <c r="A12" s="21">
        <v>10000</v>
      </c>
      <c r="B12" s="18" t="s">
        <v>1</v>
      </c>
      <c r="C12" s="16">
        <v>578833</v>
      </c>
      <c r="D12" s="17">
        <f t="shared" si="0"/>
        <v>0.57883300000000004</v>
      </c>
      <c r="E12" s="16">
        <v>75091</v>
      </c>
      <c r="F12" s="16">
        <v>267232</v>
      </c>
      <c r="J12" s="5">
        <v>1000000</v>
      </c>
      <c r="K12" s="15">
        <v>8.6046329999999998</v>
      </c>
      <c r="L12" s="15">
        <v>127.2829</v>
      </c>
      <c r="M12" s="15">
        <v>51.556800000000003</v>
      </c>
      <c r="N12"/>
      <c r="O12"/>
      <c r="P12"/>
      <c r="Q12"/>
      <c r="R12" s="5">
        <v>1000000</v>
      </c>
      <c r="S12" s="20">
        <v>1999998</v>
      </c>
      <c r="T12" s="20">
        <v>11076445</v>
      </c>
      <c r="U12" s="20">
        <v>9427463</v>
      </c>
      <c r="V12"/>
      <c r="AA12" s="5">
        <v>1000000</v>
      </c>
      <c r="AB12" s="20">
        <v>3001000</v>
      </c>
      <c r="AC12" s="20">
        <v>39902848</v>
      </c>
      <c r="AD12" s="20">
        <v>12854931</v>
      </c>
    </row>
    <row r="13" spans="1:30" x14ac:dyDescent="0.3">
      <c r="A13" s="21">
        <v>10000</v>
      </c>
      <c r="B13" s="18" t="s">
        <v>2</v>
      </c>
      <c r="C13" s="16">
        <v>370266</v>
      </c>
      <c r="D13" s="17">
        <f t="shared" si="0"/>
        <v>0.37026599999999998</v>
      </c>
      <c r="E13" s="16">
        <v>62865</v>
      </c>
      <c r="F13" s="16">
        <v>65735</v>
      </c>
      <c r="J13"/>
      <c r="K13"/>
      <c r="L13"/>
      <c r="M13"/>
      <c r="N13"/>
      <c r="O13"/>
      <c r="P13"/>
      <c r="Q13"/>
    </row>
    <row r="14" spans="1:30" x14ac:dyDescent="0.3">
      <c r="A14" s="21">
        <v>50000</v>
      </c>
      <c r="B14" s="18" t="s">
        <v>0</v>
      </c>
      <c r="C14" s="16">
        <v>394766</v>
      </c>
      <c r="D14" s="17">
        <f t="shared" si="0"/>
        <v>0.39476600000000001</v>
      </c>
      <c r="E14" s="16">
        <v>99998</v>
      </c>
      <c r="F14" s="16">
        <v>151000</v>
      </c>
      <c r="J14"/>
      <c r="K14"/>
      <c r="L14"/>
    </row>
    <row r="15" spans="1:30" x14ac:dyDescent="0.3">
      <c r="A15" s="21">
        <v>50000</v>
      </c>
      <c r="B15" s="18" t="s">
        <v>3</v>
      </c>
      <c r="C15" s="16">
        <v>1539672000</v>
      </c>
      <c r="D15" s="17">
        <f t="shared" si="0"/>
        <v>1539.672</v>
      </c>
      <c r="E15" s="16">
        <v>1248776471</v>
      </c>
      <c r="F15" s="16">
        <v>1248776471</v>
      </c>
      <c r="J15"/>
      <c r="K15"/>
      <c r="L15"/>
    </row>
    <row r="16" spans="1:30" x14ac:dyDescent="0.3">
      <c r="A16" s="21">
        <v>50000</v>
      </c>
      <c r="B16" s="18" t="s">
        <v>1</v>
      </c>
      <c r="C16" s="16">
        <v>3863833</v>
      </c>
      <c r="D16" s="17">
        <f t="shared" si="0"/>
        <v>3.8638330000000001</v>
      </c>
      <c r="E16" s="16">
        <v>447345</v>
      </c>
      <c r="F16" s="16">
        <v>1568928</v>
      </c>
      <c r="J16"/>
      <c r="K16"/>
      <c r="L16"/>
    </row>
    <row r="17" spans="1:12" x14ac:dyDescent="0.3">
      <c r="A17" s="21">
        <v>50000</v>
      </c>
      <c r="B17" s="18" t="s">
        <v>2</v>
      </c>
      <c r="C17" s="16">
        <v>1656833</v>
      </c>
      <c r="D17" s="17">
        <f t="shared" si="0"/>
        <v>1.656833</v>
      </c>
      <c r="E17" s="16">
        <v>362149</v>
      </c>
      <c r="F17" s="16">
        <v>424303</v>
      </c>
      <c r="J17"/>
      <c r="K17"/>
      <c r="L17"/>
    </row>
    <row r="18" spans="1:12" x14ac:dyDescent="0.3">
      <c r="A18" s="21">
        <v>100000</v>
      </c>
      <c r="B18" s="18" t="s">
        <v>0</v>
      </c>
      <c r="C18" s="16">
        <v>825100</v>
      </c>
      <c r="D18" s="17">
        <f t="shared" si="0"/>
        <v>0.82509999999999994</v>
      </c>
      <c r="E18" s="16">
        <v>199998</v>
      </c>
      <c r="F18" s="16">
        <v>301000</v>
      </c>
      <c r="J18"/>
      <c r="K18"/>
      <c r="L18"/>
    </row>
    <row r="19" spans="1:12" x14ac:dyDescent="0.3">
      <c r="A19" s="21">
        <v>100000</v>
      </c>
      <c r="B19" s="18" t="s">
        <v>3</v>
      </c>
      <c r="C19" s="16">
        <v>5840609600</v>
      </c>
      <c r="D19" s="17">
        <f t="shared" si="0"/>
        <v>5840.6095999999998</v>
      </c>
      <c r="E19" s="16">
        <v>4995056280</v>
      </c>
      <c r="F19" s="16">
        <v>4995056280</v>
      </c>
      <c r="J19"/>
      <c r="K19"/>
      <c r="L19"/>
    </row>
    <row r="20" spans="1:12" x14ac:dyDescent="0.3">
      <c r="A20" s="21">
        <v>100000</v>
      </c>
      <c r="B20" s="18" t="s">
        <v>1</v>
      </c>
      <c r="C20" s="16">
        <v>6630966</v>
      </c>
      <c r="D20" s="17">
        <f t="shared" si="0"/>
        <v>6.6309659999999999</v>
      </c>
      <c r="E20" s="16">
        <v>945717</v>
      </c>
      <c r="F20" s="16">
        <v>3337856</v>
      </c>
      <c r="J20"/>
      <c r="K20"/>
      <c r="L20"/>
    </row>
    <row r="21" spans="1:12" x14ac:dyDescent="0.3">
      <c r="A21" s="21">
        <v>100000</v>
      </c>
      <c r="B21" s="18" t="s">
        <v>2</v>
      </c>
      <c r="C21" s="16">
        <v>3355233</v>
      </c>
      <c r="D21" s="17">
        <f t="shared" si="0"/>
        <v>3.3552330000000001</v>
      </c>
      <c r="E21" s="16">
        <v>770141</v>
      </c>
      <c r="F21" s="16">
        <v>940286</v>
      </c>
      <c r="J21"/>
      <c r="K21"/>
      <c r="L21"/>
    </row>
    <row r="22" spans="1:12" x14ac:dyDescent="0.3">
      <c r="A22" s="21">
        <v>500000</v>
      </c>
      <c r="B22" s="18" t="s">
        <v>0</v>
      </c>
      <c r="C22" s="16">
        <v>15816966</v>
      </c>
      <c r="D22" s="17">
        <f t="shared" si="0"/>
        <v>15.816966000000001</v>
      </c>
      <c r="E22" s="16">
        <v>999998</v>
      </c>
      <c r="F22" s="16">
        <v>1501000</v>
      </c>
    </row>
    <row r="23" spans="1:12" x14ac:dyDescent="0.3">
      <c r="A23" s="21">
        <v>500000</v>
      </c>
      <c r="B23" s="18" t="s">
        <v>3</v>
      </c>
      <c r="C23" s="19">
        <v>191382219266</v>
      </c>
      <c r="D23" s="19">
        <f t="shared" si="0"/>
        <v>191382.219266</v>
      </c>
      <c r="E23" s="19">
        <v>124875388708</v>
      </c>
      <c r="F23" s="19">
        <v>124875388708</v>
      </c>
    </row>
    <row r="24" spans="1:12" x14ac:dyDescent="0.3">
      <c r="A24" s="21">
        <v>500000</v>
      </c>
      <c r="B24" s="18" t="s">
        <v>1</v>
      </c>
      <c r="C24" s="16">
        <v>93849233</v>
      </c>
      <c r="D24" s="17">
        <f t="shared" si="0"/>
        <v>93.849232999999998</v>
      </c>
      <c r="E24" s="16">
        <v>5275474</v>
      </c>
      <c r="F24" s="16">
        <v>18951424</v>
      </c>
    </row>
    <row r="25" spans="1:12" x14ac:dyDescent="0.3">
      <c r="A25" s="21">
        <v>500000</v>
      </c>
      <c r="B25" s="18" t="s">
        <v>2</v>
      </c>
      <c r="C25" s="16">
        <v>43577100</v>
      </c>
      <c r="D25" s="17">
        <f t="shared" si="0"/>
        <v>43.577100000000002</v>
      </c>
      <c r="E25" s="16">
        <v>4460766</v>
      </c>
      <c r="F25" s="16">
        <v>5921536</v>
      </c>
    </row>
    <row r="26" spans="1:12" x14ac:dyDescent="0.3">
      <c r="A26" s="21">
        <v>1000000</v>
      </c>
      <c r="B26" s="18" t="s">
        <v>0</v>
      </c>
      <c r="C26" s="16">
        <v>8604633</v>
      </c>
      <c r="D26" s="17">
        <f t="shared" si="0"/>
        <v>8.6046329999999998</v>
      </c>
      <c r="E26" s="16">
        <v>1999998</v>
      </c>
      <c r="F26" s="16">
        <v>3001000</v>
      </c>
    </row>
    <row r="27" spans="1:12" x14ac:dyDescent="0.3">
      <c r="A27" s="21">
        <v>1000000</v>
      </c>
      <c r="B27" s="18" t="s">
        <v>1</v>
      </c>
      <c r="C27" s="16">
        <v>127282900</v>
      </c>
      <c r="D27" s="17">
        <f t="shared" si="0"/>
        <v>127.2829</v>
      </c>
      <c r="E27" s="16">
        <v>11076445</v>
      </c>
      <c r="F27" s="16">
        <v>39902848</v>
      </c>
    </row>
    <row r="28" spans="1:12" x14ac:dyDescent="0.3">
      <c r="A28" s="21">
        <v>1000000</v>
      </c>
      <c r="B28" s="18" t="s">
        <v>2</v>
      </c>
      <c r="C28" s="16">
        <v>51556800</v>
      </c>
      <c r="D28" s="17">
        <f t="shared" si="0"/>
        <v>51.556800000000003</v>
      </c>
      <c r="E28" s="16">
        <v>9427463</v>
      </c>
      <c r="F28" s="16">
        <v>12854931</v>
      </c>
    </row>
  </sheetData>
  <pageMargins left="0.511811024" right="0.511811024" top="0.78740157499999996" bottom="0.78740157499999996" header="0.31496062000000002" footer="0.31496062000000002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vetorAleatorio</vt:lpstr>
      <vt:lpstr>vetorOrdenadoCrescente</vt:lpstr>
      <vt:lpstr>vetorOrdenadoDecrescente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Almeida</dc:creator>
  <cp:lastModifiedBy>Marcos Almeida</cp:lastModifiedBy>
  <dcterms:created xsi:type="dcterms:W3CDTF">2025-11-20T19:10:38Z</dcterms:created>
  <dcterms:modified xsi:type="dcterms:W3CDTF">2025-11-23T18:13:24Z</dcterms:modified>
</cp:coreProperties>
</file>